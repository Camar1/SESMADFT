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uc3m.sharepoint.com/sites/XXXRacingTeam/Documentos compartidos/06 Chassis and Composites/06 SES/"/>
    </mc:Choice>
  </mc:AlternateContent>
  <xr:revisionPtr revIDLastSave="4479" documentId="13_ncr:1_{59CE0822-AFE2-476B-9BFA-41490E9AA285}" xr6:coauthVersionLast="47" xr6:coauthVersionMax="47" xr10:uidLastSave="{8D3BB5FF-9B41-4695-A7E5-65286F161D24}"/>
  <bookViews>
    <workbookView xWindow="-108" yWindow="-108" windowWidth="23256" windowHeight="12456" firstSheet="2" activeTab="2" xr2:uid="{4163AB0B-B644-4E40-8209-F4B142155D7F}"/>
  </bookViews>
  <sheets>
    <sheet name="Barrido Gradientes" sheetId="6" r:id="rId1"/>
    <sheet name="Base de Datos Probetas" sheetId="5" r:id="rId2"/>
    <sheet name="Calculadora SES" sheetId="2" r:id="rId3"/>
    <sheet name="Tiradas Probetas MFT06" sheetId="3" r:id="rId4"/>
    <sheet name="Peso Monocasco" sheetId="4" r:id="rId5"/>
    <sheet name="Desplegables" sheetId="1" r:id="rId6"/>
  </sheets>
  <definedNames>
    <definedName name="_xlnm._FilterDatabase" localSheetId="0" hidden="1">'Barrido Gradientes'!$F$5:$L$5</definedName>
    <definedName name="_xlnm._FilterDatabase" localSheetId="1" hidden="1">'Base de Datos Probetas'!$B$5:$W$5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4" l="1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11" i="5"/>
  <c r="J25" i="2" a="1"/>
  <c r="J25" i="2"/>
  <c r="K22" i="2" a="1"/>
  <c r="K22" i="2"/>
  <c r="D14" i="2"/>
  <c r="E14" i="2" s="1" a="1"/>
  <c r="E14" i="2" s="1"/>
  <c r="F14" i="2" s="1"/>
  <c r="L11" i="2"/>
  <c r="L9" i="2"/>
  <c r="L10" i="2"/>
  <c r="J10" i="2"/>
  <c r="J9" i="2"/>
  <c r="P7" i="2"/>
  <c r="P6" i="2"/>
  <c r="M8" i="5"/>
  <c r="M9" i="5"/>
  <c r="M10" i="5"/>
  <c r="M12" i="5"/>
  <c r="M13" i="5"/>
  <c r="M14" i="5"/>
  <c r="M15" i="5"/>
  <c r="M16" i="5"/>
  <c r="M7" i="5"/>
  <c r="C10" i="2" a="1"/>
  <c r="C10" i="2" s="1"/>
  <c r="C9" i="2" a="1"/>
  <c r="C9" i="2" s="1"/>
  <c r="C8" i="2" a="1"/>
  <c r="C8" i="2" s="1"/>
  <c r="C7" i="2" a="1"/>
  <c r="C7" i="2" s="1"/>
  <c r="C6" i="2" a="1"/>
  <c r="C6" i="2" s="1"/>
  <c r="C11" i="2" a="1"/>
  <c r="C11" i="2" s="1"/>
  <c r="C12" i="2" a="1"/>
  <c r="C12" i="2" s="1"/>
  <c r="C13" i="2" a="1"/>
  <c r="C13" i="2" s="1"/>
  <c r="L22" i="3"/>
  <c r="L23" i="3" s="1"/>
  <c r="K22" i="3"/>
  <c r="K23" i="3" s="1"/>
  <c r="O43" i="6"/>
  <c r="O44" i="6"/>
  <c r="O45" i="6"/>
  <c r="O46" i="6"/>
  <c r="O47" i="6"/>
  <c r="O48" i="6"/>
  <c r="O49" i="6"/>
  <c r="N43" i="6"/>
  <c r="N44" i="6"/>
  <c r="N45" i="6"/>
  <c r="N46" i="6"/>
  <c r="N47" i="6"/>
  <c r="N48" i="6"/>
  <c r="N49" i="6"/>
  <c r="O68" i="6"/>
  <c r="N68" i="6" s="1"/>
  <c r="O69" i="6"/>
  <c r="N69" i="6" s="1"/>
  <c r="O70" i="6"/>
  <c r="N70" i="6" s="1"/>
  <c r="O71" i="6"/>
  <c r="N71" i="6" s="1"/>
  <c r="O72" i="6"/>
  <c r="N72" i="6" s="1"/>
  <c r="O73" i="6"/>
  <c r="N73" i="6" s="1"/>
  <c r="O74" i="6"/>
  <c r="N74" i="6" s="1"/>
  <c r="O75" i="6"/>
  <c r="N75" i="6" s="1"/>
  <c r="P77" i="6"/>
  <c r="O77" i="6" s="1"/>
  <c r="N77" i="6" s="1"/>
  <c r="P78" i="6"/>
  <c r="O78" i="6" s="1"/>
  <c r="N78" i="6" s="1"/>
  <c r="P79" i="6"/>
  <c r="O79" i="6" s="1"/>
  <c r="N79" i="6" s="1"/>
  <c r="P80" i="6"/>
  <c r="O80" i="6" s="1"/>
  <c r="N80" i="6" s="1"/>
  <c r="P81" i="6"/>
  <c r="O81" i="6" s="1"/>
  <c r="N81" i="6" s="1"/>
  <c r="P82" i="6"/>
  <c r="O82" i="6" s="1"/>
  <c r="N82" i="6" s="1"/>
  <c r="P83" i="6"/>
  <c r="O83" i="6" s="1"/>
  <c r="N83" i="6" s="1"/>
  <c r="P85" i="6"/>
  <c r="O85" i="6" s="1"/>
  <c r="N85" i="6" s="1"/>
  <c r="P86" i="6"/>
  <c r="O86" i="6" s="1"/>
  <c r="N86" i="6" s="1"/>
  <c r="P87" i="6"/>
  <c r="O87" i="6" s="1"/>
  <c r="N87" i="6" s="1"/>
  <c r="P88" i="6"/>
  <c r="P89" i="6"/>
  <c r="P90" i="6"/>
  <c r="P91" i="6"/>
  <c r="P93" i="6"/>
  <c r="P94" i="6"/>
  <c r="P95" i="6"/>
  <c r="P76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G12" i="4"/>
  <c r="R5" i="6"/>
  <c r="R8" i="6" s="1"/>
  <c r="S8" i="6" s="1"/>
  <c r="O50" i="6"/>
  <c r="N50" i="6" s="1"/>
  <c r="O51" i="6"/>
  <c r="N51" i="6" s="1"/>
  <c r="O52" i="6"/>
  <c r="N52" i="6" s="1"/>
  <c r="O53" i="6"/>
  <c r="N53" i="6" s="1"/>
  <c r="O54" i="6"/>
  <c r="N54" i="6" s="1"/>
  <c r="O55" i="6"/>
  <c r="N55" i="6" s="1"/>
  <c r="O56" i="6"/>
  <c r="N56" i="6" s="1"/>
  <c r="O57" i="6"/>
  <c r="N57" i="6" s="1"/>
  <c r="O58" i="6"/>
  <c r="N58" i="6" s="1"/>
  <c r="O59" i="6"/>
  <c r="N59" i="6" s="1"/>
  <c r="O60" i="6"/>
  <c r="N60" i="6" s="1"/>
  <c r="O61" i="6"/>
  <c r="N61" i="6" s="1"/>
  <c r="O62" i="6"/>
  <c r="N62" i="6" s="1"/>
  <c r="O63" i="6"/>
  <c r="N63" i="6" s="1"/>
  <c r="O64" i="6"/>
  <c r="N64" i="6" s="1"/>
  <c r="O65" i="6"/>
  <c r="N65" i="6" s="1"/>
  <c r="O66" i="6"/>
  <c r="N66" i="6" s="1"/>
  <c r="O67" i="6"/>
  <c r="N67" i="6" s="1"/>
  <c r="O42" i="6"/>
  <c r="N42" i="6" s="1"/>
  <c r="O5" i="6"/>
  <c r="N5" i="6" s="1"/>
  <c r="O6" i="6"/>
  <c r="N6" i="6" s="1"/>
  <c r="O7" i="6"/>
  <c r="N7" i="6" s="1"/>
  <c r="O8" i="6"/>
  <c r="N8" i="6" s="1"/>
  <c r="O9" i="6"/>
  <c r="O10" i="6"/>
  <c r="O11" i="6"/>
  <c r="O12" i="6"/>
  <c r="O13" i="6"/>
  <c r="O14" i="6"/>
  <c r="O15" i="6"/>
  <c r="O16" i="6"/>
  <c r="O17" i="6"/>
  <c r="O18" i="6"/>
  <c r="O19" i="6"/>
  <c r="L16" i="3"/>
  <c r="L17" i="3" s="1"/>
  <c r="K16" i="3"/>
  <c r="K17" i="3" s="1"/>
  <c r="L7" i="2" a="1"/>
  <c r="L7" i="2" s="1"/>
  <c r="G11" i="4"/>
  <c r="D8" i="4" s="1"/>
  <c r="T32" i="2" a="1"/>
  <c r="T32" i="2" s="1"/>
  <c r="T26" i="2" a="1"/>
  <c r="T26" i="2" s="1"/>
  <c r="T20" i="2" a="1"/>
  <c r="T20" i="2" s="1"/>
  <c r="T14" i="2" a="1"/>
  <c r="T14" i="2" s="1"/>
  <c r="T8" i="2" a="1"/>
  <c r="T8" i="2" s="1"/>
  <c r="D17" i="2"/>
  <c r="D7" i="2" l="1" a="1"/>
  <c r="D7" i="2" s="1"/>
  <c r="E7" i="2" a="1"/>
  <c r="E7" i="2" s="1"/>
  <c r="F7" i="2" s="1" a="1"/>
  <c r="F7" i="2" s="1"/>
  <c r="D6" i="2" a="1"/>
  <c r="D6" i="2" s="1"/>
  <c r="E6" i="2" a="1"/>
  <c r="E6" i="2" s="1"/>
  <c r="G6" i="2" s="1" a="1"/>
  <c r="G6" i="2" s="1"/>
  <c r="E8" i="2" a="1"/>
  <c r="E8" i="2" s="1"/>
  <c r="G8" i="2" s="1" a="1"/>
  <c r="G8" i="2" s="1"/>
  <c r="D8" i="2" a="1"/>
  <c r="D8" i="2" s="1"/>
  <c r="E11" i="2" a="1"/>
  <c r="E11" i="2" s="1"/>
  <c r="G11" i="2" s="1" a="1"/>
  <c r="G11" i="2" s="1"/>
  <c r="D11" i="2" a="1"/>
  <c r="D11" i="2" s="1"/>
  <c r="E9" i="2" a="1"/>
  <c r="E9" i="2" s="1"/>
  <c r="G9" i="2" s="1" a="1"/>
  <c r="G9" i="2" s="1"/>
  <c r="D9" i="2" a="1"/>
  <c r="D9" i="2" s="1"/>
  <c r="E10" i="2" a="1"/>
  <c r="E10" i="2" s="1"/>
  <c r="G10" i="2" s="1" a="1"/>
  <c r="G10" i="2" s="1"/>
  <c r="D10" i="2" a="1"/>
  <c r="D10" i="2" s="1"/>
  <c r="E12" i="2" a="1"/>
  <c r="E12" i="2" s="1"/>
  <c r="F12" i="2" s="1" a="1"/>
  <c r="F12" i="2" s="1"/>
  <c r="D12" i="2" a="1"/>
  <c r="D12" i="2" s="1"/>
  <c r="J11" i="2"/>
  <c r="M23" i="3"/>
  <c r="D4" i="4"/>
  <c r="I19" i="6"/>
  <c r="H19" i="6" s="1"/>
  <c r="I47" i="6"/>
  <c r="H47" i="6" s="1"/>
  <c r="I26" i="6"/>
  <c r="H26" i="6" s="1"/>
  <c r="I29" i="6"/>
  <c r="H29" i="6" s="1"/>
  <c r="I18" i="6"/>
  <c r="H18" i="6" s="1"/>
  <c r="I44" i="6"/>
  <c r="H44" i="6" s="1"/>
  <c r="N17" i="6"/>
  <c r="I32" i="6"/>
  <c r="H32" i="6" s="1"/>
  <c r="I49" i="6"/>
  <c r="H49" i="6" s="1"/>
  <c r="I56" i="6"/>
  <c r="H56" i="6" s="1"/>
  <c r="N16" i="6"/>
  <c r="I54" i="6"/>
  <c r="H54" i="6" s="1"/>
  <c r="I52" i="6"/>
  <c r="H52" i="6" s="1"/>
  <c r="I35" i="6"/>
  <c r="H35" i="6" s="1"/>
  <c r="N15" i="6"/>
  <c r="I53" i="6"/>
  <c r="H53" i="6" s="1"/>
  <c r="I46" i="6"/>
  <c r="H46" i="6" s="1"/>
  <c r="I33" i="6"/>
  <c r="H33" i="6" s="1"/>
  <c r="N14" i="6"/>
  <c r="I58" i="6"/>
  <c r="H58" i="6" s="1"/>
  <c r="I37" i="6"/>
  <c r="H37" i="6" s="1"/>
  <c r="I51" i="6"/>
  <c r="H51" i="6" s="1"/>
  <c r="N13" i="6"/>
  <c r="I31" i="6"/>
  <c r="H31" i="6" s="1"/>
  <c r="I45" i="6"/>
  <c r="H45" i="6" s="1"/>
  <c r="I41" i="6"/>
  <c r="H41" i="6" s="1"/>
  <c r="N12" i="6"/>
  <c r="I50" i="6"/>
  <c r="H50" i="6" s="1"/>
  <c r="I43" i="6"/>
  <c r="H43" i="6" s="1"/>
  <c r="N11" i="6"/>
  <c r="I55" i="6"/>
  <c r="H55" i="6" s="1"/>
  <c r="I60" i="6"/>
  <c r="H60" i="6" s="1"/>
  <c r="N10" i="6"/>
  <c r="I59" i="6"/>
  <c r="H59" i="6" s="1"/>
  <c r="N9" i="6"/>
  <c r="I62" i="6"/>
  <c r="H62" i="6" s="1"/>
  <c r="I72" i="6"/>
  <c r="H72" i="6" s="1"/>
  <c r="I94" i="6"/>
  <c r="H94" i="6" s="1"/>
  <c r="I92" i="6"/>
  <c r="H92" i="6" s="1"/>
  <c r="I70" i="6"/>
  <c r="H70" i="6" s="1"/>
  <c r="I93" i="6"/>
  <c r="H93" i="6" s="1"/>
  <c r="I91" i="6"/>
  <c r="H91" i="6" s="1"/>
  <c r="I87" i="6"/>
  <c r="H87" i="6" s="1"/>
  <c r="I88" i="6"/>
  <c r="I86" i="6"/>
  <c r="H86" i="6" s="1"/>
  <c r="I84" i="6"/>
  <c r="H84" i="6" s="1"/>
  <c r="I81" i="6"/>
  <c r="H81" i="6" s="1"/>
  <c r="I85" i="6"/>
  <c r="H85" i="6" s="1"/>
  <c r="I83" i="6"/>
  <c r="H83" i="6" s="1"/>
  <c r="I80" i="6"/>
  <c r="H80" i="6" s="1"/>
  <c r="I96" i="6"/>
  <c r="H96" i="6" s="1"/>
  <c r="I95" i="6"/>
  <c r="H95" i="6" s="1"/>
  <c r="I79" i="6"/>
  <c r="H79" i="6" s="1"/>
  <c r="I68" i="6"/>
  <c r="H68" i="6" s="1"/>
  <c r="I67" i="6"/>
  <c r="H67" i="6" s="1"/>
  <c r="I63" i="6"/>
  <c r="H63" i="6" s="1"/>
  <c r="I65" i="6"/>
  <c r="H65" i="6" s="1"/>
  <c r="I61" i="6"/>
  <c r="H61" i="6" s="1"/>
  <c r="I57" i="6"/>
  <c r="H57" i="6" s="1"/>
  <c r="I42" i="6"/>
  <c r="H42" i="6" s="1"/>
  <c r="I36" i="6"/>
  <c r="H36" i="6" s="1"/>
  <c r="I24" i="6"/>
  <c r="H24" i="6" s="1"/>
  <c r="I27" i="6"/>
  <c r="H27" i="6" s="1"/>
  <c r="I34" i="6"/>
  <c r="H34" i="6" s="1"/>
  <c r="I38" i="6"/>
  <c r="H38" i="6" s="1"/>
  <c r="I25" i="6"/>
  <c r="H25" i="6" s="1"/>
  <c r="I28" i="6"/>
  <c r="H28" i="6" s="1"/>
  <c r="I74" i="6"/>
  <c r="H74" i="6" s="1"/>
  <c r="I23" i="6"/>
  <c r="H23" i="6" s="1"/>
  <c r="I20" i="6"/>
  <c r="H20" i="6" s="1"/>
  <c r="I30" i="6"/>
  <c r="H30" i="6" s="1"/>
  <c r="I14" i="6"/>
  <c r="H14" i="6" s="1"/>
  <c r="I22" i="6"/>
  <c r="H22" i="6" s="1"/>
  <c r="I17" i="6"/>
  <c r="H17" i="6" s="1"/>
  <c r="I10" i="6"/>
  <c r="H10" i="6" s="1"/>
  <c r="I78" i="6"/>
  <c r="H78" i="6" s="1"/>
  <c r="I7" i="6"/>
  <c r="H7" i="6" s="1"/>
  <c r="I9" i="6"/>
  <c r="H9" i="6" s="1"/>
  <c r="I15" i="6"/>
  <c r="H15" i="6" s="1"/>
  <c r="I12" i="6"/>
  <c r="H12" i="6" s="1"/>
  <c r="I13" i="6"/>
  <c r="H13" i="6" s="1"/>
  <c r="I97" i="6"/>
  <c r="H97" i="6" s="1"/>
  <c r="I6" i="6"/>
  <c r="H6" i="6" s="1"/>
  <c r="I16" i="6"/>
  <c r="H16" i="6" s="1"/>
  <c r="I8" i="6"/>
  <c r="H8" i="6" s="1"/>
  <c r="I39" i="6"/>
  <c r="H39" i="6" s="1"/>
  <c r="I21" i="6"/>
  <c r="H21" i="6" s="1"/>
  <c r="I11" i="6"/>
  <c r="H11" i="6" s="1"/>
  <c r="I40" i="6"/>
  <c r="H40" i="6" s="1"/>
  <c r="N19" i="6"/>
  <c r="N18" i="6"/>
  <c r="J44" i="6"/>
  <c r="K44" i="6"/>
  <c r="L44" i="6" s="1"/>
  <c r="J25" i="6"/>
  <c r="J37" i="6"/>
  <c r="K37" i="6"/>
  <c r="L37" i="6" s="1"/>
  <c r="J18" i="6"/>
  <c r="J47" i="6"/>
  <c r="N41" i="6"/>
  <c r="N40" i="6"/>
  <c r="N39" i="6"/>
  <c r="N38" i="6"/>
  <c r="K93" i="6" s="1"/>
  <c r="N37" i="6"/>
  <c r="N36" i="6"/>
  <c r="K60" i="6" s="1"/>
  <c r="N35" i="6"/>
  <c r="K46" i="6" s="1"/>
  <c r="N34" i="6"/>
  <c r="N33" i="6"/>
  <c r="K85" i="6" s="1"/>
  <c r="N32" i="6"/>
  <c r="K96" i="6" s="1"/>
  <c r="N31" i="6"/>
  <c r="K95" i="6" s="1"/>
  <c r="N30" i="6"/>
  <c r="N29" i="6"/>
  <c r="N28" i="6"/>
  <c r="K50" i="6" s="1"/>
  <c r="N27" i="6"/>
  <c r="N26" i="6"/>
  <c r="K55" i="6" s="1"/>
  <c r="N25" i="6"/>
  <c r="K18" i="6" s="1"/>
  <c r="L18" i="6" s="1"/>
  <c r="N24" i="6"/>
  <c r="N23" i="6"/>
  <c r="N22" i="6"/>
  <c r="K57" i="6" s="1"/>
  <c r="N21" i="6"/>
  <c r="K78" i="6" s="1"/>
  <c r="N20" i="6"/>
  <c r="O76" i="6"/>
  <c r="N76" i="6" s="1"/>
  <c r="P84" i="6"/>
  <c r="O95" i="6"/>
  <c r="P103" i="6"/>
  <c r="O94" i="6"/>
  <c r="N94" i="6" s="1"/>
  <c r="P102" i="6"/>
  <c r="O93" i="6"/>
  <c r="P101" i="6"/>
  <c r="O91" i="6"/>
  <c r="P99" i="6"/>
  <c r="O90" i="6"/>
  <c r="N90" i="6" s="1"/>
  <c r="P98" i="6"/>
  <c r="O89" i="6"/>
  <c r="P97" i="6"/>
  <c r="O88" i="6"/>
  <c r="N88" i="6" s="1"/>
  <c r="P96" i="6"/>
  <c r="M17" i="3"/>
  <c r="K68" i="6"/>
  <c r="Y5" i="2"/>
  <c r="X5" i="2"/>
  <c r="D9" i="4"/>
  <c r="D6" i="4"/>
  <c r="D5" i="4"/>
  <c r="D7" i="4"/>
  <c r="D10" i="4"/>
  <c r="G7" i="2" l="1" a="1"/>
  <c r="G7" i="2" s="1"/>
  <c r="F9" i="2" a="1"/>
  <c r="F9" i="2" s="1"/>
  <c r="G12" i="2" a="1"/>
  <c r="G12" i="2" s="1"/>
  <c r="F8" i="2" a="1"/>
  <c r="F8" i="2" s="1"/>
  <c r="F10" i="2" a="1"/>
  <c r="F10" i="2" s="1"/>
  <c r="F6" i="2" a="1"/>
  <c r="F6" i="2" s="1"/>
  <c r="F11" i="2" a="1"/>
  <c r="F11" i="2" s="1"/>
  <c r="N95" i="6"/>
  <c r="I64" i="6"/>
  <c r="H64" i="6" s="1"/>
  <c r="N89" i="6"/>
  <c r="I48" i="6"/>
  <c r="H48" i="6" s="1"/>
  <c r="N91" i="6"/>
  <c r="I76" i="6"/>
  <c r="H76" i="6" s="1"/>
  <c r="J76" i="6" s="1"/>
  <c r="N93" i="6"/>
  <c r="I75" i="6"/>
  <c r="H75" i="6" s="1"/>
  <c r="J75" i="6" s="1"/>
  <c r="K42" i="6"/>
  <c r="J78" i="6"/>
  <c r="L78" i="6"/>
  <c r="K47" i="6"/>
  <c r="L47" i="6" s="1"/>
  <c r="J57" i="6"/>
  <c r="L57" i="6" s="1"/>
  <c r="K76" i="6"/>
  <c r="L76" i="6" s="1"/>
  <c r="J42" i="6"/>
  <c r="K36" i="6"/>
  <c r="K25" i="6"/>
  <c r="L25" i="6" s="1"/>
  <c r="K58" i="6"/>
  <c r="K9" i="6"/>
  <c r="K8" i="6"/>
  <c r="K17" i="6"/>
  <c r="K75" i="6"/>
  <c r="L75" i="6" s="1"/>
  <c r="J51" i="6"/>
  <c r="K51" i="6"/>
  <c r="L51" i="6" s="1"/>
  <c r="J7" i="6"/>
  <c r="K7" i="6"/>
  <c r="L7" i="6" s="1"/>
  <c r="J83" i="6"/>
  <c r="K83" i="6"/>
  <c r="L83" i="6" s="1"/>
  <c r="J39" i="6"/>
  <c r="K39" i="6"/>
  <c r="L39" i="6" s="1"/>
  <c r="J28" i="6"/>
  <c r="K28" i="6"/>
  <c r="L28" i="6" s="1"/>
  <c r="J79" i="6"/>
  <c r="K79" i="6"/>
  <c r="L79" i="6" s="1"/>
  <c r="J30" i="6"/>
  <c r="K30" i="6"/>
  <c r="L30" i="6" s="1"/>
  <c r="J65" i="6"/>
  <c r="K65" i="6"/>
  <c r="L65" i="6" s="1"/>
  <c r="J43" i="6"/>
  <c r="K43" i="6"/>
  <c r="L43" i="6" s="1"/>
  <c r="J26" i="6"/>
  <c r="K26" i="6"/>
  <c r="L26" i="6" s="1"/>
  <c r="J33" i="6"/>
  <c r="K33" i="6"/>
  <c r="L33" i="6" s="1"/>
  <c r="J74" i="6"/>
  <c r="K74" i="6"/>
  <c r="L74" i="6" s="1"/>
  <c r="J15" i="6"/>
  <c r="K15" i="6"/>
  <c r="L15" i="6" s="1"/>
  <c r="J67" i="6"/>
  <c r="K67" i="6"/>
  <c r="L67" i="6" s="1"/>
  <c r="J91" i="6"/>
  <c r="K91" i="6"/>
  <c r="L91" i="6" s="1"/>
  <c r="J35" i="6"/>
  <c r="K35" i="6"/>
  <c r="L35" i="6" s="1"/>
  <c r="J12" i="6"/>
  <c r="K12" i="6"/>
  <c r="L12" i="6" s="1"/>
  <c r="J38" i="6"/>
  <c r="K38" i="6"/>
  <c r="L38" i="6" s="1"/>
  <c r="J40" i="6"/>
  <c r="K40" i="6"/>
  <c r="L40" i="6" s="1"/>
  <c r="J55" i="6"/>
  <c r="L55" i="6" s="1"/>
  <c r="J36" i="6"/>
  <c r="L36" i="6" s="1"/>
  <c r="J50" i="6"/>
  <c r="L50" i="6" s="1"/>
  <c r="J58" i="6"/>
  <c r="L58" i="6" s="1"/>
  <c r="J9" i="6"/>
  <c r="L9" i="6" s="1"/>
  <c r="J95" i="6"/>
  <c r="L95" i="6" s="1"/>
  <c r="J96" i="6"/>
  <c r="L96" i="6" s="1"/>
  <c r="J85" i="6"/>
  <c r="L85" i="6" s="1"/>
  <c r="J8" i="6"/>
  <c r="L8" i="6" s="1"/>
  <c r="J46" i="6"/>
  <c r="L46" i="6" s="1"/>
  <c r="J60" i="6"/>
  <c r="L60" i="6" s="1"/>
  <c r="J17" i="6"/>
  <c r="L17" i="6" s="1"/>
  <c r="J93" i="6"/>
  <c r="L93" i="6" s="1"/>
  <c r="J52" i="6"/>
  <c r="K52" i="6"/>
  <c r="L52" i="6" s="1"/>
  <c r="J54" i="6"/>
  <c r="K54" i="6"/>
  <c r="L54" i="6" s="1"/>
  <c r="J24" i="6"/>
  <c r="K24" i="6"/>
  <c r="L24" i="6" s="1"/>
  <c r="J86" i="6"/>
  <c r="K86" i="6"/>
  <c r="L86" i="6" s="1"/>
  <c r="J45" i="6"/>
  <c r="K45" i="6"/>
  <c r="L45" i="6" s="1"/>
  <c r="J23" i="6"/>
  <c r="K23" i="6"/>
  <c r="L23" i="6" s="1"/>
  <c r="J92" i="6"/>
  <c r="K92" i="6"/>
  <c r="L92" i="6" s="1"/>
  <c r="J22" i="6"/>
  <c r="K22" i="6"/>
  <c r="L22" i="6" s="1"/>
  <c r="J21" i="6"/>
  <c r="K21" i="6"/>
  <c r="L21" i="6" s="1"/>
  <c r="J87" i="6"/>
  <c r="K87" i="6"/>
  <c r="L87" i="6" s="1"/>
  <c r="J81" i="6"/>
  <c r="K81" i="6"/>
  <c r="L81" i="6" s="1"/>
  <c r="J32" i="6"/>
  <c r="K32" i="6"/>
  <c r="L32" i="6" s="1"/>
  <c r="J16" i="6"/>
  <c r="K16" i="6"/>
  <c r="L16" i="6" s="1"/>
  <c r="J80" i="6"/>
  <c r="K80" i="6"/>
  <c r="L80" i="6" s="1"/>
  <c r="J49" i="6"/>
  <c r="K49" i="6"/>
  <c r="L49" i="6" s="1"/>
  <c r="J53" i="6"/>
  <c r="K53" i="6"/>
  <c r="L53" i="6" s="1"/>
  <c r="J13" i="6"/>
  <c r="K13" i="6"/>
  <c r="L13" i="6" s="1"/>
  <c r="J27" i="6"/>
  <c r="K27" i="6"/>
  <c r="L27" i="6" s="1"/>
  <c r="J84" i="6"/>
  <c r="K84" i="6"/>
  <c r="L84" i="6" s="1"/>
  <c r="J61" i="6"/>
  <c r="K61" i="6"/>
  <c r="L61" i="6" s="1"/>
  <c r="J72" i="6"/>
  <c r="K72" i="6"/>
  <c r="L72" i="6" s="1"/>
  <c r="O96" i="6"/>
  <c r="N96" i="6" s="1"/>
  <c r="P104" i="6"/>
  <c r="O97" i="6"/>
  <c r="P105" i="6"/>
  <c r="O98" i="6"/>
  <c r="N98" i="6" s="1"/>
  <c r="P106" i="6"/>
  <c r="O99" i="6"/>
  <c r="P107" i="6"/>
  <c r="O101" i="6"/>
  <c r="P109" i="6"/>
  <c r="O109" i="6" s="1"/>
  <c r="O102" i="6"/>
  <c r="N102" i="6" s="1"/>
  <c r="P110" i="6"/>
  <c r="O110" i="6" s="1"/>
  <c r="N110" i="6" s="1"/>
  <c r="O103" i="6"/>
  <c r="P111" i="6"/>
  <c r="O111" i="6" s="1"/>
  <c r="O84" i="6"/>
  <c r="N84" i="6" s="1"/>
  <c r="P92" i="6"/>
  <c r="G15" i="4"/>
  <c r="D12" i="4" s="1"/>
  <c r="J11" i="6"/>
  <c r="K11" i="6"/>
  <c r="L11" i="6" s="1"/>
  <c r="J19" i="6"/>
  <c r="K19" i="6"/>
  <c r="L19" i="6" s="1"/>
  <c r="J63" i="6"/>
  <c r="K63" i="6"/>
  <c r="L63" i="6" s="1"/>
  <c r="J6" i="6"/>
  <c r="K6" i="6"/>
  <c r="L6" i="6" s="1"/>
  <c r="J41" i="6"/>
  <c r="K41" i="6"/>
  <c r="L41" i="6" s="1"/>
  <c r="J31" i="6"/>
  <c r="K31" i="6"/>
  <c r="L31" i="6" s="1"/>
  <c r="J59" i="6"/>
  <c r="K59" i="6"/>
  <c r="L59" i="6" s="1"/>
  <c r="J29" i="6"/>
  <c r="K29" i="6"/>
  <c r="L29" i="6" s="1"/>
  <c r="J48" i="6"/>
  <c r="K48" i="6"/>
  <c r="L48" i="6" s="1"/>
  <c r="J64" i="6"/>
  <c r="K64" i="6"/>
  <c r="L64" i="6" s="1"/>
  <c r="J14" i="6"/>
  <c r="K14" i="6"/>
  <c r="L14" i="6" s="1"/>
  <c r="J10" i="6"/>
  <c r="K10" i="6"/>
  <c r="L10" i="6" s="1"/>
  <c r="J70" i="6"/>
  <c r="K70" i="6"/>
  <c r="L70" i="6" s="1"/>
  <c r="J20" i="6"/>
  <c r="K20" i="6"/>
  <c r="L20" i="6" s="1"/>
  <c r="J94" i="6"/>
  <c r="K94" i="6"/>
  <c r="L94" i="6" s="1"/>
  <c r="J68" i="6"/>
  <c r="L68" i="6" s="1"/>
  <c r="J34" i="6"/>
  <c r="K34" i="6"/>
  <c r="L34" i="6" s="1"/>
  <c r="J97" i="6"/>
  <c r="K97" i="6"/>
  <c r="L97" i="6" s="1"/>
  <c r="J56" i="6"/>
  <c r="K56" i="6"/>
  <c r="L56" i="6" s="1"/>
  <c r="J62" i="6"/>
  <c r="K62" i="6"/>
  <c r="L62" i="6" s="1"/>
  <c r="N111" i="6" l="1"/>
  <c r="I77" i="6"/>
  <c r="N97" i="6"/>
  <c r="I66" i="6"/>
  <c r="N101" i="6"/>
  <c r="I90" i="6"/>
  <c r="N99" i="6"/>
  <c r="I89" i="6"/>
  <c r="N103" i="6"/>
  <c r="I82" i="6"/>
  <c r="N109" i="6"/>
  <c r="I69" i="6"/>
  <c r="L42" i="6"/>
  <c r="O92" i="6"/>
  <c r="N92" i="6" s="1"/>
  <c r="P100" i="6"/>
  <c r="O107" i="6"/>
  <c r="P115" i="6"/>
  <c r="O115" i="6" s="1"/>
  <c r="O106" i="6"/>
  <c r="N106" i="6" s="1"/>
  <c r="P114" i="6"/>
  <c r="O114" i="6" s="1"/>
  <c r="N114" i="6" s="1"/>
  <c r="O105" i="6"/>
  <c r="N105" i="6" s="1"/>
  <c r="P113" i="6"/>
  <c r="O113" i="6" s="1"/>
  <c r="O104" i="6"/>
  <c r="N104" i="6" s="1"/>
  <c r="P112" i="6"/>
  <c r="O112" i="6" s="1"/>
  <c r="N112" i="6" s="1"/>
  <c r="H77" i="6" l="1"/>
  <c r="J77" i="6" s="1"/>
  <c r="K77" i="6"/>
  <c r="L77" i="6" s="1"/>
  <c r="H66" i="6"/>
  <c r="J66" i="6" s="1"/>
  <c r="K66" i="6"/>
  <c r="L66" i="6" s="1"/>
  <c r="H89" i="6"/>
  <c r="J89" i="6" s="1"/>
  <c r="K89" i="6"/>
  <c r="L89" i="6" s="1"/>
  <c r="H90" i="6"/>
  <c r="J90" i="6" s="1"/>
  <c r="K90" i="6"/>
  <c r="L90" i="6" s="1"/>
  <c r="N107" i="6"/>
  <c r="I98" i="6"/>
  <c r="N113" i="6"/>
  <c r="I71" i="6"/>
  <c r="N115" i="6"/>
  <c r="I73" i="6"/>
  <c r="K69" i="6"/>
  <c r="H82" i="6"/>
  <c r="J82" i="6" s="1"/>
  <c r="K82" i="6"/>
  <c r="L82" i="6" s="1"/>
  <c r="O100" i="6"/>
  <c r="P108" i="6"/>
  <c r="O108" i="6" s="1"/>
  <c r="N108" i="6" s="1"/>
  <c r="N100" i="6" l="1"/>
  <c r="H69" i="6"/>
  <c r="J69" i="6" s="1"/>
  <c r="L69" i="6"/>
  <c r="H98" i="6"/>
  <c r="J98" i="6" s="1"/>
  <c r="K98" i="6"/>
  <c r="L98" i="6" s="1"/>
  <c r="H73" i="6"/>
  <c r="J73" i="6" s="1"/>
  <c r="K73" i="6"/>
  <c r="L73" i="6" s="1"/>
  <c r="H71" i="6"/>
  <c r="J71" i="6" s="1"/>
  <c r="K71" i="6"/>
  <c r="L71" i="6" s="1"/>
  <c r="H88" i="6" l="1"/>
  <c r="J88" i="6" s="1"/>
  <c r="K88" i="6"/>
  <c r="L88" i="6" s="1"/>
  <c r="X21" i="2"/>
  <c r="Y21" i="2" s="1"/>
  <c r="X16" i="2"/>
  <c r="Y16" i="2" s="1"/>
  <c r="X20" i="2"/>
  <c r="Y20" i="2" s="1"/>
  <c r="X19" i="2"/>
  <c r="Y19" i="2" s="1"/>
  <c r="X18" i="2"/>
  <c r="Y18" i="2" s="1"/>
  <c r="X17" i="2"/>
  <c r="Y17" i="2" s="1"/>
  <c r="X23" i="2"/>
  <c r="Y23" i="2" s="1"/>
  <c r="X22" i="2"/>
  <c r="Y22" i="2" s="1"/>
  <c r="E13" i="2" a="1"/>
  <c r="E13" i="2" s="1"/>
  <c r="G13" i="2" s="1" a="1"/>
  <c r="G13" i="2" s="1"/>
  <c r="B21" i="2" s="1"/>
  <c r="Z16" i="2"/>
  <c r="D13" i="2" a="1"/>
  <c r="D13" i="2" s="1"/>
  <c r="D18" i="2" s="1"/>
  <c r="G16" i="2" l="1"/>
  <c r="E21" i="2"/>
  <c r="AB27" i="2"/>
  <c r="Y6" i="2"/>
  <c r="X6" i="2"/>
  <c r="P8" i="2" a="1"/>
  <c r="P8" i="2" s="1"/>
  <c r="P11" i="2" s="1"/>
  <c r="J15" i="2"/>
  <c r="J16" i="2" s="1"/>
  <c r="AB4" i="2"/>
  <c r="X11" i="2"/>
  <c r="D16" i="2"/>
  <c r="F13" i="2" a="1"/>
  <c r="F13" i="2" s="1"/>
  <c r="F16" i="2" s="1"/>
  <c r="E16" i="2"/>
  <c r="K18" i="2" l="1"/>
  <c r="AB5" i="2"/>
  <c r="P12" i="2"/>
  <c r="P13" i="2"/>
  <c r="X8" i="2"/>
  <c r="Z8" i="2"/>
  <c r="X10" i="2"/>
  <c r="X9" i="2"/>
  <c r="Z9" i="2"/>
  <c r="T13" i="2"/>
  <c r="T15" i="2" s="1"/>
  <c r="Q18" i="2" s="1"/>
  <c r="T7" i="2"/>
  <c r="T9" i="2" s="1"/>
  <c r="Q17" i="2" s="1"/>
  <c r="X12" i="2" l="1"/>
  <c r="Z11" i="2" l="1"/>
  <c r="Z10" i="2"/>
  <c r="Z12" i="2" s="1"/>
  <c r="L15" i="2" s="1"/>
  <c r="L16" i="2" s="1"/>
  <c r="T19" i="2" l="1"/>
  <c r="K21" i="2"/>
  <c r="T31" i="2" s="1"/>
  <c r="T33" i="2" s="1"/>
  <c r="Q21" i="2" s="1"/>
  <c r="T21" i="2"/>
  <c r="Q19" i="2" s="1"/>
  <c r="T25" i="2" l="1"/>
  <c r="T27" i="2" s="1"/>
  <c r="Q20" i="2" s="1"/>
  <c r="K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<sst xmlns="http://schemas.openxmlformats.org/spreadsheetml/2006/main" count="581" uniqueCount="244">
  <si>
    <t>y [N]</t>
  </si>
  <si>
    <t>x [mm]</t>
  </si>
  <si>
    <t>BARRIDO GRADIENTES</t>
  </si>
  <si>
    <t>Valores aprox x [mm]</t>
  </si>
  <si>
    <t>Valores para el SES</t>
  </si>
  <si>
    <t>Y [N]</t>
  </si>
  <si>
    <t>x prueba[mm]</t>
  </si>
  <si>
    <t>aprox [mm]</t>
  </si>
  <si>
    <t>Fmax</t>
  </si>
  <si>
    <t>MIN</t>
  </si>
  <si>
    <t>MAX</t>
  </si>
  <si>
    <t>x MIN [mm]</t>
  </si>
  <si>
    <t>x MAX [mm]</t>
  </si>
  <si>
    <t>y MIN [N]</t>
  </si>
  <si>
    <t>y MAX [N]</t>
  </si>
  <si>
    <t>Gradiente [N/mm]</t>
  </si>
  <si>
    <t>Fmax &gt; 12,7 mm</t>
  </si>
  <si>
    <t>Gradiente y X y Y  ideales ocultos para no ocupar espacio + Datos extra</t>
  </si>
  <si>
    <t>COEFICIENTES DE SEGURIDAD</t>
  </si>
  <si>
    <t>Probeta</t>
  </si>
  <si>
    <t>Core</t>
  </si>
  <si>
    <t>Espesor Core [mm]</t>
  </si>
  <si>
    <t>Prueba</t>
  </si>
  <si>
    <t>Peso Real Probeta [g]</t>
  </si>
  <si>
    <t>Laminado</t>
  </si>
  <si>
    <t>x1</t>
  </si>
  <si>
    <t>x2</t>
  </si>
  <si>
    <t>y1</t>
  </si>
  <si>
    <t>y2</t>
  </si>
  <si>
    <t>Ymax [N]</t>
  </si>
  <si>
    <t>Gradiente</t>
  </si>
  <si>
    <t>Higher Peak [N]</t>
  </si>
  <si>
    <t>Lower Peak [N]</t>
  </si>
  <si>
    <t>FBH [P. Shear]</t>
  </si>
  <si>
    <t>FHB [EI]</t>
  </si>
  <si>
    <t>FBHS [EI]</t>
  </si>
  <si>
    <t>SISv [EI]</t>
  </si>
  <si>
    <t>SISh [EI]</t>
  </si>
  <si>
    <t>MHBS [EI]</t>
  </si>
  <si>
    <t>SHB [EI]</t>
  </si>
  <si>
    <t>Comentarios</t>
  </si>
  <si>
    <t>000-Prueba</t>
  </si>
  <si>
    <t>3PB</t>
  </si>
  <si>
    <t>x</t>
  </si>
  <si>
    <t>2026-P01-01</t>
  </si>
  <si>
    <t>HC</t>
  </si>
  <si>
    <t>[+-45/0/+-45/+-90/+-45/+-90] S.</t>
  </si>
  <si>
    <t>-</t>
  </si>
  <si>
    <t>N/A</t>
  </si>
  <si>
    <t>Hechas con eje debil // RC 416 + UD300</t>
  </si>
  <si>
    <t>2026-P01-02</t>
  </si>
  <si>
    <t>[+-45/0/+-45/+-90/0/+-45] S.</t>
  </si>
  <si>
    <t>2026-P01-03</t>
  </si>
  <si>
    <t>[+-45/0/+-45/+-90/+-45/+-90/+-45/+-90] S.</t>
  </si>
  <si>
    <t>2026-P02-01</t>
  </si>
  <si>
    <t>[+-45/0/+-45/0/+-45] S.</t>
  </si>
  <si>
    <t>RC 416 + UD300</t>
  </si>
  <si>
    <t>2026-P02-01 v2</t>
  </si>
  <si>
    <t>2026-P02-01 x1,05</t>
  </si>
  <si>
    <t>2026-P02-02</t>
  </si>
  <si>
    <t>[+-45/0/+-45/+-90] S.</t>
  </si>
  <si>
    <t>No cumple Energia absorbida para el SISv // RC 416 + UD300</t>
  </si>
  <si>
    <t>2026-P02-03</t>
  </si>
  <si>
    <t>[+-90/0/+-45] S.</t>
  </si>
  <si>
    <t>2026-P02-S01</t>
  </si>
  <si>
    <t>Balsa</t>
  </si>
  <si>
    <t>Shear</t>
  </si>
  <si>
    <t>95 g</t>
  </si>
  <si>
    <t>2026-P02-S02</t>
  </si>
  <si>
    <t>77 g</t>
  </si>
  <si>
    <t>[+-45/0/+-45/+-90/+-45] S.</t>
  </si>
  <si>
    <t>2026-P03-01</t>
  </si>
  <si>
    <t>[+-45/0/+-45/+-90/0/+-45/+-90/+-45] S.</t>
  </si>
  <si>
    <t>2026-P03-H01</t>
  </si>
  <si>
    <t>Harness</t>
  </si>
  <si>
    <t>RC 416 + UD300 / Laminada: 320x320 Recanteada: 101*300 x1,35</t>
  </si>
  <si>
    <t>2026-P03-L01</t>
  </si>
  <si>
    <t>HC-HP</t>
  </si>
  <si>
    <t>Lap Belt Perp.</t>
  </si>
  <si>
    <t>RC 416 + UD300 / Lleva Hardpoint / Laminada: 320x320 Recanteada: 300x300</t>
  </si>
  <si>
    <t>2026-P03-L02</t>
  </si>
  <si>
    <t>Lap Belt Parallel</t>
  </si>
  <si>
    <t>RC 416 + UD300 / Laminada: 320x320 Recanteada: 300*300 x1,1</t>
  </si>
  <si>
    <t>2026-P03-S01</t>
  </si>
  <si>
    <t>128 g</t>
  </si>
  <si>
    <t>2026-P03-S02</t>
  </si>
  <si>
    <t>83 g</t>
  </si>
  <si>
    <t>2026-P03-S03</t>
  </si>
  <si>
    <t>59 g</t>
  </si>
  <si>
    <t>2026-P04-01</t>
  </si>
  <si>
    <t>2026-P04-S01</t>
  </si>
  <si>
    <t>Testeada, picos 30kN aprox. Poxolen la lio y no metio en el Pen // MATLAB</t>
  </si>
  <si>
    <t>SOLO TOCAR LO QUE TENGA ESTE FONDO</t>
  </si>
  <si>
    <t>PROPIEDADES LAMINADO</t>
  </si>
  <si>
    <t>CALCULADORA 3PB SES</t>
  </si>
  <si>
    <t>CALCULADORA SHEAR SES</t>
  </si>
  <si>
    <t>DATOS EXTRAS SES</t>
  </si>
  <si>
    <t>OUTER</t>
  </si>
  <si>
    <t>INNER</t>
  </si>
  <si>
    <t>Second Moment of Area [mm^4]</t>
  </si>
  <si>
    <t>Nº Capa</t>
  </si>
  <si>
    <t>Orientación [º]</t>
  </si>
  <si>
    <t>Espesor [mm]</t>
  </si>
  <si>
    <t>Peso fibras [g]</t>
  </si>
  <si>
    <t>Peso [g]</t>
  </si>
  <si>
    <t>Peso fibras a 0º</t>
  </si>
  <si>
    <t>b</t>
  </si>
  <si>
    <t>σ UTS [pa]</t>
  </si>
  <si>
    <t>Capa 8</t>
  </si>
  <si>
    <t>PANEL</t>
  </si>
  <si>
    <t>PROBETA</t>
  </si>
  <si>
    <t>PANNEL HEIGHT [mm]</t>
  </si>
  <si>
    <t>Yield Tensile Strength [N]</t>
  </si>
  <si>
    <t>h</t>
  </si>
  <si>
    <t>Capa 7</t>
  </si>
  <si>
    <t>MHBS</t>
  </si>
  <si>
    <t>Capa 6</t>
  </si>
  <si>
    <t>σ shear [Mpa]</t>
  </si>
  <si>
    <t>Objetivo</t>
  </si>
  <si>
    <t>A1</t>
  </si>
  <si>
    <t>I1</t>
  </si>
  <si>
    <t>Capa 5</t>
  </si>
  <si>
    <t>x1 [mm]</t>
  </si>
  <si>
    <t>y1 [N]</t>
  </si>
  <si>
    <t>Coeficiente de Seguridad</t>
  </si>
  <si>
    <t>A2</t>
  </si>
  <si>
    <t>I2</t>
  </si>
  <si>
    <t>Capa 4</t>
  </si>
  <si>
    <t>x2 [mm]</t>
  </si>
  <si>
    <t>y2 [N]</t>
  </si>
  <si>
    <t>Perimeter Shear [N]</t>
  </si>
  <si>
    <t>Ic1</t>
  </si>
  <si>
    <t>Capa 3</t>
  </si>
  <si>
    <t>Gradient [N/mm]</t>
  </si>
  <si>
    <t>Panel</t>
  </si>
  <si>
    <t>Ic2</t>
  </si>
  <si>
    <t>Capa 2</t>
  </si>
  <si>
    <t>UTS [N]</t>
  </si>
  <si>
    <t>Centroid</t>
  </si>
  <si>
    <t>Ic12</t>
  </si>
  <si>
    <t>Capa 1</t>
  </si>
  <si>
    <t>CORE</t>
  </si>
  <si>
    <t>INERCIA DE LA PROBETA</t>
  </si>
  <si>
    <t xml:space="preserve">INERCIA DEL PANEL </t>
  </si>
  <si>
    <t>[mm^4]</t>
  </si>
  <si>
    <t>NUM</t>
  </si>
  <si>
    <t>nº Capas</t>
  </si>
  <si>
    <t>% a 0</t>
  </si>
  <si>
    <t>DEN</t>
  </si>
  <si>
    <t>VALORES TOTALES PROBETA</t>
  </si>
  <si>
    <t>[m^4]</t>
  </si>
  <si>
    <t>All other parameters</t>
  </si>
  <si>
    <t>RC +-45º</t>
  </si>
  <si>
    <t>RC +-90º</t>
  </si>
  <si>
    <t>Espesor Piel [mm]</t>
  </si>
  <si>
    <t>E [Gpa]</t>
  </si>
  <si>
    <t>Max Load at Midspan [N]</t>
  </si>
  <si>
    <t>UD 0º</t>
  </si>
  <si>
    <t>UD +45º</t>
  </si>
  <si>
    <t>PORCENTAJE TOTAL 0º</t>
  </si>
  <si>
    <t>WARPING %</t>
  </si>
  <si>
    <t>EI [Gpa/m^4]</t>
  </si>
  <si>
    <t>Max Deflection at baseline [m]</t>
  </si>
  <si>
    <t>UD -45º</t>
  </si>
  <si>
    <t>Energy absorbed [J]</t>
  </si>
  <si>
    <t>UD 90º</t>
  </si>
  <si>
    <t>XC +-45º</t>
  </si>
  <si>
    <t>XC +-90º</t>
  </si>
  <si>
    <t>Distancia entre apoyos del rig [mm]</t>
  </si>
  <si>
    <t>DIMENSIONES PROBETA [mm]</t>
  </si>
  <si>
    <t xml:space="preserve">Ancho </t>
  </si>
  <si>
    <t>Largo</t>
  </si>
  <si>
    <t>Area</t>
  </si>
  <si>
    <t>Gramaje [g*m^2]</t>
  </si>
  <si>
    <t>FBH Width</t>
  </si>
  <si>
    <t>RC</t>
  </si>
  <si>
    <t>FBH Height</t>
  </si>
  <si>
    <t>UD</t>
  </si>
  <si>
    <t>Cutout Width</t>
  </si>
  <si>
    <t>XC</t>
  </si>
  <si>
    <t>Cutout Heigt</t>
  </si>
  <si>
    <t>Espesores [mm]</t>
  </si>
  <si>
    <t xml:space="preserve">Porcentaje de Resina </t>
  </si>
  <si>
    <t>Densidad [kg/m^3]</t>
  </si>
  <si>
    <t>Pannel Heights [mm]</t>
  </si>
  <si>
    <t>FBH</t>
  </si>
  <si>
    <t>FHB</t>
  </si>
  <si>
    <t>FBHS</t>
  </si>
  <si>
    <t>SISv</t>
  </si>
  <si>
    <t>SISh</t>
  </si>
  <si>
    <t>SHB</t>
  </si>
  <si>
    <t>LAMINADOS 05</t>
  </si>
  <si>
    <t>LAMINADOS v1</t>
  </si>
  <si>
    <t>COEFICIENTES MFT05</t>
  </si>
  <si>
    <t>[RC200(45)/0/+-45/+-90/0/+-45/+-90/+-45] Core</t>
  </si>
  <si>
    <t xml:space="preserve">LAMINADO </t>
  </si>
  <si>
    <t>COMENTARIO</t>
  </si>
  <si>
    <t>[RC200T(45)/0/+-45/+-90/+-45/+-90] Core</t>
  </si>
  <si>
    <t>[+-45/0/+-45/+-90/+-45/+-90] Core</t>
  </si>
  <si>
    <t>Laminado FHB y FBHS 05</t>
  </si>
  <si>
    <t>[+-45/0/+-45/+-90/0/+-45] Core</t>
  </si>
  <si>
    <t>Laminado SISh y SISv 05</t>
  </si>
  <si>
    <t>[RC200(45)/0/+-45/+-90/0/+-45] Core</t>
  </si>
  <si>
    <t>[+-45/0/+-45/+-90/+-45/+-90/+-45/+-90] Core</t>
  </si>
  <si>
    <t>Laminado SHB y MHBS 05</t>
  </si>
  <si>
    <t>[+-45/0/+-45/0/+-45/+-90/+-45/+-90] Core</t>
  </si>
  <si>
    <t>SHB y MHBS optimizado</t>
  </si>
  <si>
    <t>[RC200T(45)/0/+-45/+-90/+-45/+-90/+-45/+-90] Core</t>
  </si>
  <si>
    <t>FBH 05</t>
  </si>
  <si>
    <t>[RC200(45)/0/+-45/+-90/+-45/+-90/+-45] Core</t>
  </si>
  <si>
    <t>FBH Optimizado</t>
  </si>
  <si>
    <t xml:space="preserve">FBH </t>
  </si>
  <si>
    <t>LAMINADOS 06</t>
  </si>
  <si>
    <t>LAMINADOS v2</t>
  </si>
  <si>
    <t>Núm.  45º</t>
  </si>
  <si>
    <t>Núm. 90º</t>
  </si>
  <si>
    <t>5 Capas</t>
  </si>
  <si>
    <t>4 Capas</t>
  </si>
  <si>
    <t>3 Capas</t>
  </si>
  <si>
    <t>[+-45/0/+-45/+-90/+-45/+-90]</t>
  </si>
  <si>
    <t>FBH Shear 5 y 6 Capas (espesor equivalente a 7 y 8 del año pasado)</t>
  </si>
  <si>
    <t>TOTAL</t>
  </si>
  <si>
    <t>[+-45/0/+-45/+-90/+-45]</t>
  </si>
  <si>
    <t>Nº Rollos</t>
  </si>
  <si>
    <t>LAMINADOS v3</t>
  </si>
  <si>
    <t>8 Capas FBH</t>
  </si>
  <si>
    <t>Shear SHB/SISv</t>
  </si>
  <si>
    <t>[+-90/0/+-45]  S.</t>
  </si>
  <si>
    <t>Shear FHB / FBHS / SISh / MHBS</t>
  </si>
  <si>
    <t>Argolla - 5 Core 5</t>
  </si>
  <si>
    <t>Shoulder Harness</t>
  </si>
  <si>
    <t>LAMINADOS v4</t>
  </si>
  <si>
    <t>6 Capas FBH</t>
  </si>
  <si>
    <t>PESO MONOCASCO</t>
  </si>
  <si>
    <t>Area [mm^2]</t>
  </si>
  <si>
    <t xml:space="preserve">Panel </t>
  </si>
  <si>
    <t>Peso real de la probeta [g]</t>
  </si>
  <si>
    <t>Peso Real del laminado en el monocasco [g]</t>
  </si>
  <si>
    <t>Dashboard</t>
  </si>
  <si>
    <t>PESO TOTAL REAL [kg]</t>
  </si>
  <si>
    <t>Peso Dashboard R</t>
  </si>
  <si>
    <t>Densidad DC01 [kg/mm3]</t>
  </si>
  <si>
    <t>Volumen FH [mm3]</t>
  </si>
  <si>
    <t>Peso DC01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</si>
</sst>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E+00"/>
    <numFmt numFmtId="167" formatCode="0.000000"/>
  </numFmts>
  <fonts count="1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4"/>
      <color theme="1"/>
      <name val="Century Gothic"/>
      <family val="2"/>
    </font>
    <font>
      <b/>
      <sz val="12"/>
      <color theme="1"/>
      <name val="Century Gothic"/>
      <family val="2"/>
    </font>
    <font>
      <b/>
      <sz val="14"/>
      <color rgb="FFFF0000"/>
      <name val="Century Gothic"/>
      <family val="2"/>
    </font>
    <font>
      <sz val="11"/>
      <color theme="1"/>
      <name val="Century Gothic"/>
      <family val="2"/>
    </font>
    <font>
      <sz val="11"/>
      <color rgb="FF242424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4F00"/>
        <bgColor indexed="64"/>
      </patternFill>
    </fill>
    <fill>
      <patternFill patternType="solid">
        <fgColor rgb="FF1C93D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2" fontId="3" fillId="5" borderId="8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2" fontId="3" fillId="5" borderId="1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2" fontId="3" fillId="2" borderId="6" xfId="0" applyNumberFormat="1" applyFont="1" applyFill="1" applyBorder="1" applyAlignment="1">
      <alignment horizontal="center" vertical="center"/>
    </xf>
    <xf numFmtId="2" fontId="3" fillId="2" borderId="9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2" fontId="3" fillId="5" borderId="6" xfId="0" applyNumberFormat="1" applyFont="1" applyFill="1" applyBorder="1" applyAlignment="1">
      <alignment horizontal="center" vertical="center"/>
    </xf>
    <xf numFmtId="165" fontId="3" fillId="5" borderId="11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2" fontId="3" fillId="2" borderId="7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2" fillId="4" borderId="1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4" borderId="1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2" fontId="3" fillId="2" borderId="0" xfId="0" applyNumberFormat="1" applyFont="1" applyFill="1" applyAlignment="1">
      <alignment vertical="center"/>
    </xf>
    <xf numFmtId="166" fontId="3" fillId="2" borderId="0" xfId="0" applyNumberFormat="1" applyFont="1" applyFill="1" applyAlignment="1">
      <alignment vertical="center"/>
    </xf>
    <xf numFmtId="0" fontId="3" fillId="2" borderId="18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2" fontId="3" fillId="2" borderId="0" xfId="0" applyNumberFormat="1" applyFont="1" applyFill="1" applyAlignment="1">
      <alignment vertical="center" wrapText="1"/>
    </xf>
    <xf numFmtId="164" fontId="3" fillId="2" borderId="0" xfId="0" applyNumberFormat="1" applyFont="1" applyFill="1" applyAlignment="1">
      <alignment vertical="center"/>
    </xf>
    <xf numFmtId="0" fontId="2" fillId="4" borderId="21" xfId="0" applyFont="1" applyFill="1" applyBorder="1" applyAlignment="1">
      <alignment horizontal="center" vertical="center"/>
    </xf>
    <xf numFmtId="2" fontId="3" fillId="5" borderId="9" xfId="0" applyNumberFormat="1" applyFont="1" applyFill="1" applyBorder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/>
    </xf>
    <xf numFmtId="0" fontId="3" fillId="6" borderId="37" xfId="0" applyFont="1" applyFill="1" applyBorder="1" applyAlignment="1">
      <alignment horizontal="center" vertical="center"/>
    </xf>
    <xf numFmtId="2" fontId="3" fillId="7" borderId="9" xfId="0" applyNumberFormat="1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2" fontId="3" fillId="5" borderId="11" xfId="0" applyNumberFormat="1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11" fontId="3" fillId="2" borderId="37" xfId="0" applyNumberFormat="1" applyFont="1" applyFill="1" applyBorder="1" applyAlignment="1">
      <alignment horizontal="center" vertical="center"/>
    </xf>
    <xf numFmtId="2" fontId="2" fillId="2" borderId="24" xfId="0" applyNumberFormat="1" applyFont="1" applyFill="1" applyBorder="1" applyAlignment="1">
      <alignment horizontal="center" vertical="center"/>
    </xf>
    <xf numFmtId="2" fontId="2" fillId="2" borderId="22" xfId="0" applyNumberFormat="1" applyFont="1" applyFill="1" applyBorder="1" applyAlignment="1">
      <alignment horizontal="center" vertical="center"/>
    </xf>
    <xf numFmtId="2" fontId="2" fillId="2" borderId="20" xfId="0" applyNumberFormat="1" applyFont="1" applyFill="1" applyBorder="1" applyAlignment="1">
      <alignment horizontal="center" vertical="center"/>
    </xf>
    <xf numFmtId="2" fontId="2" fillId="2" borderId="30" xfId="0" applyNumberFormat="1" applyFont="1" applyFill="1" applyBorder="1" applyAlignment="1">
      <alignment horizontal="center" vertical="center"/>
    </xf>
    <xf numFmtId="2" fontId="2" fillId="2" borderId="18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2" fontId="3" fillId="6" borderId="27" xfId="0" applyNumberFormat="1" applyFont="1" applyFill="1" applyBorder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164" fontId="3" fillId="5" borderId="11" xfId="0" applyNumberFormat="1" applyFont="1" applyFill="1" applyBorder="1" applyAlignment="1">
      <alignment horizontal="center" vertical="center"/>
    </xf>
    <xf numFmtId="10" fontId="3" fillId="6" borderId="22" xfId="0" applyNumberFormat="1" applyFont="1" applyFill="1" applyBorder="1" applyAlignment="1">
      <alignment horizontal="center" vertical="center"/>
    </xf>
    <xf numFmtId="10" fontId="3" fillId="6" borderId="24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19" xfId="0" applyFont="1" applyFill="1" applyBorder="1" applyAlignment="1">
      <alignment vertical="center"/>
    </xf>
    <xf numFmtId="0" fontId="8" fillId="2" borderId="20" xfId="0" applyFont="1" applyFill="1" applyBorder="1" applyAlignment="1">
      <alignment vertical="center"/>
    </xf>
    <xf numFmtId="0" fontId="2" fillId="4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vertical="center"/>
    </xf>
    <xf numFmtId="0" fontId="3" fillId="8" borderId="13" xfId="0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3" fillId="8" borderId="15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 textRotation="90"/>
    </xf>
    <xf numFmtId="164" fontId="3" fillId="2" borderId="28" xfId="0" applyNumberFormat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0" fillId="2" borderId="0" xfId="0" applyFill="1"/>
    <xf numFmtId="164" fontId="3" fillId="2" borderId="37" xfId="0" applyNumberFormat="1" applyFont="1" applyFill="1" applyBorder="1" applyAlignment="1">
      <alignment horizontal="center" vertical="center"/>
    </xf>
    <xf numFmtId="167" fontId="9" fillId="2" borderId="21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vertical="center"/>
    </xf>
    <xf numFmtId="0" fontId="3" fillId="2" borderId="31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vertical="center"/>
    </xf>
    <xf numFmtId="164" fontId="10" fillId="2" borderId="21" xfId="0" applyNumberFormat="1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vertical="center"/>
    </xf>
    <xf numFmtId="0" fontId="3" fillId="6" borderId="10" xfId="0" applyFont="1" applyFill="1" applyBorder="1" applyAlignment="1">
      <alignment horizontal="center" vertical="center"/>
    </xf>
    <xf numFmtId="164" fontId="3" fillId="2" borderId="19" xfId="0" applyNumberFormat="1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vertical="center"/>
    </xf>
    <xf numFmtId="0" fontId="3" fillId="2" borderId="1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3" fillId="2" borderId="30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2" fontId="3" fillId="2" borderId="19" xfId="0" applyNumberFormat="1" applyFont="1" applyFill="1" applyBorder="1" applyAlignment="1">
      <alignment horizontal="center" vertical="center"/>
    </xf>
    <xf numFmtId="2" fontId="3" fillId="2" borderId="30" xfId="0" applyNumberFormat="1" applyFont="1" applyFill="1" applyBorder="1" applyAlignment="1">
      <alignment horizontal="center" vertical="center"/>
    </xf>
    <xf numFmtId="164" fontId="3" fillId="2" borderId="21" xfId="0" applyNumberFormat="1" applyFont="1" applyFill="1" applyBorder="1" applyAlignment="1">
      <alignment horizontal="center" vertical="center"/>
    </xf>
    <xf numFmtId="2" fontId="3" fillId="2" borderId="31" xfId="0" applyNumberFormat="1" applyFont="1" applyFill="1" applyBorder="1" applyAlignment="1">
      <alignment horizontal="center" vertical="center"/>
    </xf>
    <xf numFmtId="2" fontId="3" fillId="2" borderId="2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textRotation="90"/>
    </xf>
    <xf numFmtId="2" fontId="3" fillId="2" borderId="23" xfId="0" applyNumberFormat="1" applyFont="1" applyFill="1" applyBorder="1" applyAlignment="1">
      <alignment horizontal="center" vertical="center"/>
    </xf>
    <xf numFmtId="2" fontId="3" fillId="2" borderId="32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167" fontId="3" fillId="2" borderId="19" xfId="0" applyNumberFormat="1" applyFont="1" applyFill="1" applyBorder="1" applyAlignment="1">
      <alignment horizontal="center" vertical="center"/>
    </xf>
    <xf numFmtId="164" fontId="2" fillId="2" borderId="21" xfId="0" applyNumberFormat="1" applyFont="1" applyFill="1" applyBorder="1" applyAlignment="1">
      <alignment horizontal="center" vertical="center"/>
    </xf>
    <xf numFmtId="167" fontId="3" fillId="2" borderId="21" xfId="0" applyNumberFormat="1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2" fontId="3" fillId="6" borderId="22" xfId="0" applyNumberFormat="1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2" fontId="3" fillId="2" borderId="37" xfId="0" applyNumberFormat="1" applyFont="1" applyFill="1" applyBorder="1" applyAlignment="1">
      <alignment horizontal="center" vertical="center"/>
    </xf>
    <xf numFmtId="2" fontId="3" fillId="2" borderId="18" xfId="0" applyNumberFormat="1" applyFont="1" applyFill="1" applyBorder="1" applyAlignment="1">
      <alignment horizontal="center" vertical="center"/>
    </xf>
    <xf numFmtId="11" fontId="3" fillId="2" borderId="30" xfId="0" applyNumberFormat="1" applyFont="1" applyFill="1" applyBorder="1" applyAlignment="1">
      <alignment horizontal="center" vertical="center"/>
    </xf>
    <xf numFmtId="164" fontId="3" fillId="2" borderId="3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5" borderId="30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0" fontId="2" fillId="10" borderId="22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9" borderId="21" xfId="0" applyNumberFormat="1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164" fontId="2" fillId="2" borderId="22" xfId="0" applyNumberFormat="1" applyFont="1" applyFill="1" applyBorder="1" applyAlignment="1">
      <alignment horizontal="center" vertical="center"/>
    </xf>
    <xf numFmtId="164" fontId="2" fillId="9" borderId="22" xfId="0" applyNumberFormat="1" applyFont="1" applyFill="1" applyBorder="1" applyAlignment="1">
      <alignment horizontal="center" vertical="center"/>
    </xf>
    <xf numFmtId="164" fontId="10" fillId="2" borderId="22" xfId="0" applyNumberFormat="1" applyFont="1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164" fontId="2" fillId="9" borderId="0" xfId="0" applyNumberFormat="1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2" fillId="2" borderId="27" xfId="0" applyNumberFormat="1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2" fontId="2" fillId="2" borderId="19" xfId="0" applyNumberFormat="1" applyFont="1" applyFill="1" applyBorder="1" applyAlignment="1">
      <alignment horizontal="center" vertical="center"/>
    </xf>
    <xf numFmtId="2" fontId="2" fillId="2" borderId="20" xfId="0" applyNumberFormat="1" applyFont="1" applyFill="1" applyBorder="1" applyAlignment="1">
      <alignment horizontal="center" vertical="center"/>
    </xf>
    <xf numFmtId="2" fontId="2" fillId="2" borderId="23" xfId="0" applyNumberFormat="1" applyFont="1" applyFill="1" applyBorder="1" applyAlignment="1">
      <alignment horizontal="center" vertical="center"/>
    </xf>
    <xf numFmtId="2" fontId="2" fillId="2" borderId="24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/>
    </xf>
    <xf numFmtId="11" fontId="3" fillId="5" borderId="16" xfId="0" applyNumberFormat="1" applyFont="1" applyFill="1" applyBorder="1" applyAlignment="1">
      <alignment horizontal="center" vertical="center"/>
    </xf>
    <xf numFmtId="11" fontId="3" fillId="5" borderId="18" xfId="0" applyNumberFormat="1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2" fontId="3" fillId="5" borderId="35" xfId="0" applyNumberFormat="1" applyFont="1" applyFill="1" applyBorder="1" applyAlignment="1">
      <alignment horizontal="center" vertical="center" wrapText="1"/>
    </xf>
    <xf numFmtId="2" fontId="3" fillId="5" borderId="36" xfId="0" applyNumberFormat="1" applyFont="1" applyFill="1" applyBorder="1" applyAlignment="1">
      <alignment horizontal="center" vertical="center" wrapText="1"/>
    </xf>
    <xf numFmtId="0" fontId="3" fillId="5" borderId="3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164" fontId="3" fillId="2" borderId="19" xfId="0" applyNumberFormat="1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164" fontId="3" fillId="2" borderId="23" xfId="0" applyNumberFormat="1" applyFont="1" applyFill="1" applyBorder="1" applyAlignment="1">
      <alignment horizontal="center" vertical="center"/>
    </xf>
    <xf numFmtId="164" fontId="3" fillId="2" borderId="24" xfId="0" applyNumberFormat="1" applyFont="1" applyFill="1" applyBorder="1" applyAlignment="1">
      <alignment horizontal="center" vertical="center"/>
    </xf>
    <xf numFmtId="2" fontId="3" fillId="5" borderId="25" xfId="0" applyNumberFormat="1" applyFont="1" applyFill="1" applyBorder="1" applyAlignment="1">
      <alignment horizontal="center" vertical="center" wrapText="1"/>
    </xf>
    <xf numFmtId="2" fontId="3" fillId="5" borderId="26" xfId="0" applyNumberFormat="1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10" fontId="4" fillId="5" borderId="10" xfId="0" applyNumberFormat="1" applyFont="1" applyFill="1" applyBorder="1" applyAlignment="1">
      <alignment horizontal="center" vertical="center"/>
    </xf>
    <xf numFmtId="10" fontId="4" fillId="5" borderId="12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0" fontId="4" fillId="5" borderId="11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2" fontId="3" fillId="5" borderId="10" xfId="0" applyNumberFormat="1" applyFont="1" applyFill="1" applyBorder="1" applyAlignment="1">
      <alignment horizontal="center" vertical="center"/>
    </xf>
    <xf numFmtId="2" fontId="3" fillId="5" borderId="12" xfId="0" applyNumberFormat="1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166" fontId="3" fillId="5" borderId="10" xfId="0" applyNumberFormat="1" applyFont="1" applyFill="1" applyBorder="1" applyAlignment="1">
      <alignment horizontal="center" vertical="center"/>
    </xf>
    <xf numFmtId="166" fontId="3" fillId="5" borderId="12" xfId="0" applyNumberFormat="1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164" fontId="3" fillId="5" borderId="19" xfId="0" applyNumberFormat="1" applyFont="1" applyFill="1" applyBorder="1" applyAlignment="1">
      <alignment horizontal="center" vertical="center"/>
    </xf>
    <xf numFmtId="164" fontId="3" fillId="5" borderId="20" xfId="0" applyNumberFormat="1" applyFont="1" applyFill="1" applyBorder="1" applyAlignment="1">
      <alignment horizontal="center" vertical="center"/>
    </xf>
    <xf numFmtId="164" fontId="3" fillId="5" borderId="23" xfId="0" applyNumberFormat="1" applyFont="1" applyFill="1" applyBorder="1" applyAlignment="1">
      <alignment horizontal="center" vertical="center"/>
    </xf>
    <xf numFmtId="164" fontId="3" fillId="5" borderId="24" xfId="0" applyNumberFormat="1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 textRotation="90"/>
    </xf>
    <xf numFmtId="0" fontId="2" fillId="4" borderId="32" xfId="0" applyFont="1" applyFill="1" applyBorder="1" applyAlignment="1">
      <alignment horizontal="center" vertical="center" textRotation="90"/>
    </xf>
    <xf numFmtId="0" fontId="2" fillId="4" borderId="31" xfId="0" applyFont="1" applyFill="1" applyBorder="1" applyAlignment="1">
      <alignment horizontal="center" vertical="center" textRotation="90"/>
    </xf>
    <xf numFmtId="0" fontId="2" fillId="4" borderId="19" xfId="0" applyFont="1" applyFill="1" applyBorder="1" applyAlignment="1">
      <alignment horizontal="center" vertical="center" textRotation="90"/>
    </xf>
    <xf numFmtId="0" fontId="2" fillId="4" borderId="21" xfId="0" applyFont="1" applyFill="1" applyBorder="1" applyAlignment="1">
      <alignment horizontal="center" vertical="center" textRotation="90"/>
    </xf>
    <xf numFmtId="0" fontId="2" fillId="4" borderId="23" xfId="0" applyFont="1" applyFill="1" applyBorder="1" applyAlignment="1">
      <alignment horizontal="center" vertical="center" textRotation="90"/>
    </xf>
    <xf numFmtId="0" fontId="3" fillId="2" borderId="2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F8C78"/>
        </patternFill>
      </fill>
    </dxf>
    <dxf>
      <font>
        <b/>
        <i val="0"/>
        <color theme="1"/>
      </font>
      <fill>
        <patternFill patternType="solid">
          <bgColor theme="0"/>
        </patternFill>
      </fill>
    </dxf>
    <dxf>
      <font>
        <b/>
        <i val="0"/>
        <color theme="1"/>
      </font>
      <fill>
        <patternFill patternType="solid">
          <bgColor theme="0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rgb="FFFF8C78"/>
        </patternFill>
      </fill>
    </dxf>
    <dxf>
      <font>
        <b/>
        <i val="0"/>
        <color theme="1"/>
      </font>
      <fill>
        <patternFill patternType="solid"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b/>
        <i val="0"/>
        <color theme="1"/>
      </font>
      <fill>
        <patternFill patternType="solid">
          <bgColor theme="0" tint="-0.14999847407452621"/>
        </patternFill>
      </fill>
    </dxf>
  </dxfs>
  <tableStyles count="0" defaultTableStyle="TableStyleMedium2" defaultPivotStyle="PivotStyleLight16"/>
  <colors>
    <mruColors>
      <color rgb="FF1C93D8"/>
      <color rgb="FFFF4F00"/>
      <color rgb="FFFFFF99"/>
      <color rgb="FFFF8C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276225</xdr:colOff>
      <xdr:row>22</xdr:row>
      <xdr:rowOff>57150</xdr:rowOff>
    </xdr:from>
    <xdr:to>
      <xdr:col>16</xdr:col>
      <xdr:colOff>0</xdr:colOff>
      <xdr:row>24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5A9C40B7-1877-C146-60DF-83FC0BB94E05}"/>
            </a:ext>
            <a:ext uri="{147F2762-F138-4A5C-976F-8EAC2B608ADB}">
              <a16:predDERef xmlns:a16="http://schemas.microsoft.com/office/drawing/2014/main" pred="{07ABCE8C-D52A-659D-34CE-0CAAE28DD72E}"/>
            </a:ext>
          </a:extLst>
        </xdr:cNvPr>
        <xdr:cNvSpPr/>
      </xdr:nvSpPr>
      <xdr:spPr>
        <a:xfrm>
          <a:off x="14630400" y="5505450"/>
          <a:ext cx="2333625" cy="5334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NO ES LA MISMA QUE LA LIMITANTE PARA EL SES.</a:t>
          </a:r>
        </a:p>
      </xdr:txBody>
    </xdr:sp>
    <xdr:clientData/>
  </xdr:twoCellAnchor>
  <xdr:twoCellAnchor>
    <xdr:from>
      <xdr:col>15</xdr:col>
      <xdr:colOff>85725</xdr:colOff>
      <xdr:row>20</xdr:row>
      <xdr:rowOff>238125</xdr:rowOff>
    </xdr:from>
    <xdr:to>
      <xdr:col>16</xdr:col>
      <xdr:colOff>990600</xdr:colOff>
      <xdr:row>22</xdr:row>
      <xdr:rowOff>57150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512472E9-8247-D5AC-C909-36BA99069587}"/>
            </a:ext>
            <a:ext uri="{147F2762-F138-4A5C-976F-8EAC2B608ADB}">
              <a16:predDERef xmlns:a16="http://schemas.microsoft.com/office/drawing/2014/main" pred="{5A9C40B7-1877-C146-60DF-83FC0BB94E05}"/>
            </a:ext>
          </a:extLst>
        </xdr:cNvPr>
        <xdr:cNvCxnSpPr>
          <a:cxnSpLocks/>
          <a:stCxn id="3" idx="0"/>
          <a:extLst>
            <a:ext uri="{5F17804C-33F3-41E3-A699-7DCFA2EF7971}">
              <a16:cxnDERefs xmlns:a16="http://schemas.microsoft.com/office/drawing/2014/main" st="{5A9C40B7-1877-C146-60DF-83FC0BB94E05}" end="{00000000-0000-0000-0000-000000000000}"/>
            </a:ext>
          </a:extLst>
        </xdr:cNvCxnSpPr>
      </xdr:nvCxnSpPr>
      <xdr:spPr>
        <a:xfrm flipV="1">
          <a:off x="15744825" y="5191125"/>
          <a:ext cx="2209800" cy="314325"/>
        </a:xfrm>
        <a:prstGeom prst="line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3F2B-8A7E-4E9A-A1C9-9433706F055B}">
  <dimension ref="B1:T301"/>
  <sheetViews>
    <sheetView zoomScale="80" zoomScaleNormal="80" workbookViewId="0">
      <selection activeCell="H6" sqref="H6:K6"/>
    </sheetView>
  </sheetViews>
  <sheetFormatPr defaultColWidth="9.140625" defaultRowHeight="19.5" customHeight="1"/>
  <cols>
    <col min="1" max="1" width="5.5703125" style="91" customWidth="1"/>
    <col min="2" max="2" width="19.85546875" style="115" customWidth="1"/>
    <col min="3" max="3" width="18.5703125" style="109" customWidth="1"/>
    <col min="4" max="5" width="5.5703125" style="91" customWidth="1"/>
    <col min="6" max="7" width="15.5703125" style="91" hidden="1" customWidth="1"/>
    <col min="8" max="11" width="15.5703125" style="91" customWidth="1"/>
    <col min="12" max="12" width="20.5703125" style="91" customWidth="1"/>
    <col min="13" max="13" width="7" style="91" customWidth="1"/>
    <col min="14" max="16" width="15.5703125" style="91" hidden="1" customWidth="1"/>
    <col min="17" max="17" width="5.5703125" style="91" customWidth="1"/>
    <col min="18" max="18" width="30.5703125" style="91" customWidth="1"/>
    <col min="19" max="19" width="15.5703125" style="91" hidden="1" customWidth="1"/>
    <col min="20" max="20" width="15.5703125" style="91" customWidth="1"/>
    <col min="21" max="21" width="9.140625" style="91"/>
    <col min="22" max="22" width="15.5703125" style="91" customWidth="1"/>
    <col min="23" max="16384" width="9.140625" style="91"/>
  </cols>
  <sheetData>
    <row r="1" spans="2:20" ht="19.5" customHeight="1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2:20" ht="19.5" customHeight="1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2:20" ht="19.5" customHeight="1">
      <c r="B3" s="96" t="s">
        <v>0</v>
      </c>
      <c r="C3" s="84" t="s">
        <v>1</v>
      </c>
      <c r="D3" s="8"/>
      <c r="E3" s="8"/>
      <c r="F3" s="137"/>
      <c r="G3" s="138"/>
      <c r="H3" s="194" t="s">
        <v>2</v>
      </c>
      <c r="I3" s="195"/>
      <c r="J3" s="195"/>
      <c r="K3" s="195"/>
      <c r="L3" s="196"/>
      <c r="M3" s="8"/>
      <c r="N3" s="8"/>
      <c r="O3" s="8"/>
      <c r="P3" s="8"/>
      <c r="Q3" s="8"/>
      <c r="R3" s="8"/>
      <c r="S3" s="8"/>
      <c r="T3" s="8"/>
    </row>
    <row r="4" spans="2:20" ht="19.5" customHeight="1">
      <c r="B4" s="124">
        <v>27.111190000000001</v>
      </c>
      <c r="C4" s="139">
        <v>0</v>
      </c>
      <c r="D4" s="8"/>
      <c r="E4" s="8"/>
      <c r="F4" s="192" t="s">
        <v>3</v>
      </c>
      <c r="G4" s="193"/>
      <c r="H4" s="197" t="s">
        <v>4</v>
      </c>
      <c r="I4" s="198"/>
      <c r="J4" s="198"/>
      <c r="K4" s="198"/>
      <c r="L4" s="140"/>
      <c r="M4" s="8"/>
      <c r="N4" s="17" t="s">
        <v>5</v>
      </c>
      <c r="O4" s="18" t="s">
        <v>6</v>
      </c>
      <c r="P4" s="84" t="s">
        <v>7</v>
      </c>
      <c r="Q4" s="8"/>
      <c r="R4" s="96" t="s">
        <v>8</v>
      </c>
      <c r="S4" s="8"/>
      <c r="T4" s="15"/>
    </row>
    <row r="5" spans="2:20" ht="19.5" customHeight="1">
      <c r="B5" s="125">
        <v>64.389049999999997</v>
      </c>
      <c r="C5" s="112">
        <v>7.4706999999999996E-2</v>
      </c>
      <c r="D5" s="8"/>
      <c r="E5" s="8"/>
      <c r="F5" s="68" t="s">
        <v>9</v>
      </c>
      <c r="G5" s="141" t="s">
        <v>10</v>
      </c>
      <c r="H5" s="27" t="s">
        <v>11</v>
      </c>
      <c r="I5" s="17" t="s">
        <v>12</v>
      </c>
      <c r="J5" s="96" t="s">
        <v>13</v>
      </c>
      <c r="K5" s="142" t="s">
        <v>14</v>
      </c>
      <c r="L5" s="143" t="s">
        <v>15</v>
      </c>
      <c r="M5" s="8"/>
      <c r="N5" s="132">
        <f>INDEX($B$4:$B$1298,MATCH(O5,$C$4:$C$1309,0),1)</f>
        <v>2430.0140000000001</v>
      </c>
      <c r="O5" s="44">
        <f>LARGE($C$4:$C$1309,COUNTIF($C$4:$C$1309,"&gt;="&amp;P5))</f>
        <v>1.0275266999999999</v>
      </c>
      <c r="P5" s="44">
        <v>1</v>
      </c>
      <c r="Q5" s="8"/>
      <c r="R5" s="144">
        <f>MAX(B4:B2000)</f>
        <v>21521.77</v>
      </c>
      <c r="S5" s="8"/>
      <c r="T5" s="8"/>
    </row>
    <row r="6" spans="2:20" ht="19.5" customHeight="1">
      <c r="B6" s="125">
        <v>118.6114</v>
      </c>
      <c r="C6" s="112">
        <v>0.1106567</v>
      </c>
      <c r="D6" s="8"/>
      <c r="E6" s="113"/>
      <c r="F6" s="145">
        <v>3.75</v>
      </c>
      <c r="G6" s="43">
        <v>5.25</v>
      </c>
      <c r="H6" s="124">
        <f>IF(I6-INDEX($O$5:$O$117, MATCH(F6, $P$5:$P$117, 0))&gt;1,INDEX($O$5:$O$117, MATCH(F6, $P$5:$P$117, 0)),INDEX($O$5:$O$117, MATCH(F6-0.02, $P$5:$P$117, 0)))</f>
        <v>3.7567447</v>
      </c>
      <c r="I6" s="44">
        <f>IF(INDEX($O$5:$O$117, MATCH(G6, $P$5:$P$117, 0))-INDEX($O$5:$O$117, MATCH(F6, $P$5:$P$117, 0))&gt;1,INDEX($O$5:$O$117, MATCH(G6, $P$5:$P$117, 0)),INDEX($O$5:$O$117, MATCH(G6+0.02, $P$5:$P$117, 0)))</f>
        <v>5.2681576999999997</v>
      </c>
      <c r="J6" s="43">
        <f>INDEX($N$5:$N$67, MATCH(H6, $O$5:$O$67, 0))</f>
        <v>9935.4789999999994</v>
      </c>
      <c r="K6" s="43">
        <f>INDEX($N$5:$N$67, MATCH(I6, $O$5:$O$67, 0))</f>
        <v>14274.2</v>
      </c>
      <c r="L6" s="146">
        <f>MAX(0, IFERROR((K6-J6)/(I6-H6), 0))</f>
        <v>2870.6389319133832</v>
      </c>
      <c r="M6" s="8"/>
      <c r="N6" s="147">
        <f t="shared" ref="N6:N19" si="0">INDEX($B$4:$B$1298,MATCH(O6,$C$4:$C$1309,0),1)</f>
        <v>3027.5729999999999</v>
      </c>
      <c r="O6" s="45">
        <f t="shared" ref="O6:O19" si="1">LARGE($C$4:$C$1309,COUNTIF($C$4:$C$1309,"&gt;="&amp;P6))</f>
        <v>1.2573856999999999</v>
      </c>
      <c r="P6" s="45">
        <v>1.25</v>
      </c>
      <c r="Q6" s="8"/>
      <c r="R6" s="8"/>
      <c r="S6" s="8"/>
      <c r="T6" s="8"/>
    </row>
    <row r="7" spans="2:20" ht="19.5" customHeight="1">
      <c r="B7" s="125">
        <v>177.80529999999999</v>
      </c>
      <c r="C7" s="112">
        <v>0.1434936</v>
      </c>
      <c r="D7" s="8"/>
      <c r="E7" s="113"/>
      <c r="F7" s="149">
        <v>3.75</v>
      </c>
      <c r="G7" s="8">
        <v>5.75</v>
      </c>
      <c r="H7" s="125">
        <f>IF(I7-INDEX($O$5:$O$117, MATCH(F7, $P$5:$P$117, 0))&gt;1,INDEX($O$5:$O$117, MATCH(F7, $P$5:$P$117, 0)),INDEX($O$5:$O$117, MATCH(F7-0.02, $P$5:$P$117, 0)))</f>
        <v>3.7567447</v>
      </c>
      <c r="I7" s="45">
        <f>IF(INDEX($O$5:$O$117, MATCH(G7, $P$5:$P$117, 0))-INDEX($O$5:$O$117, MATCH(F7, $P$5:$P$117, 0))&gt;1,INDEX($O$5:$O$117, MATCH(G7, $P$5:$P$117, 0)),INDEX($O$5:$O$117, MATCH(G7+0.02, $P$5:$P$117, 0)))</f>
        <v>5.7560726999999998</v>
      </c>
      <c r="J7" s="8">
        <f>INDEX($N$5:$N$67, MATCH(H7, $O$5:$O$67, 0))</f>
        <v>9935.4789999999994</v>
      </c>
      <c r="K7" s="8">
        <f>INDEX($N$5:$N$67, MATCH(I7, $O$5:$O$67, 0))</f>
        <v>15668.78</v>
      </c>
      <c r="L7" s="148">
        <f>MAX(0, IFERROR((K7-J7)/(I7-H7), 0))</f>
        <v>2867.6140183101534</v>
      </c>
      <c r="M7" s="8"/>
      <c r="N7" s="147">
        <f t="shared" si="0"/>
        <v>3719.395</v>
      </c>
      <c r="O7" s="45">
        <f t="shared" si="1"/>
        <v>1.5181576999999999</v>
      </c>
      <c r="P7" s="45">
        <v>1.5</v>
      </c>
      <c r="Q7" s="8"/>
      <c r="R7" s="96" t="s">
        <v>16</v>
      </c>
      <c r="S7" s="8"/>
      <c r="T7" s="8"/>
    </row>
    <row r="8" spans="2:20" ht="19.5" customHeight="1">
      <c r="B8" s="125">
        <v>317.5163</v>
      </c>
      <c r="C8" s="112">
        <v>0.2085571</v>
      </c>
      <c r="D8" s="8"/>
      <c r="E8" s="113"/>
      <c r="F8" s="149">
        <v>4</v>
      </c>
      <c r="G8" s="8">
        <v>5</v>
      </c>
      <c r="H8" s="125">
        <f>IF(I8-INDEX($O$5:$O$117, MATCH(F8, $P$5:$P$117, 0))&gt;1,INDEX($O$5:$O$117, MATCH(F8, $P$5:$P$117, 0)),INDEX($O$5:$O$117, MATCH(F8-0.02, $P$5:$P$117, 0)))</f>
        <v>4.0160216999999996</v>
      </c>
      <c r="I8" s="45">
        <f>IF(INDEX($O$5:$O$117, MATCH(G8, $P$5:$P$117, 0))-INDEX($O$5:$O$117, MATCH(F8, $P$5:$P$117, 0))&gt;1,INDEX($O$5:$O$117, MATCH(G8, $P$5:$P$117, 0)),INDEX($O$5:$O$117, MATCH(G8+0.02, $P$5:$P$117, 0)))</f>
        <v>5.0322566999999996</v>
      </c>
      <c r="J8" s="8">
        <f>INDEX($N$5:$N$67, MATCH(H8, $O$5:$O$67, 0))</f>
        <v>10678.02</v>
      </c>
      <c r="K8" s="8">
        <f>INDEX($N$5:$N$67, MATCH(I8, $O$5:$O$67, 0))</f>
        <v>13592.11</v>
      </c>
      <c r="L8" s="148">
        <f>MAX(0, IFERROR((K8-J8)/(I8-H8), 0))</f>
        <v>2867.5355601804704</v>
      </c>
      <c r="M8" s="8"/>
      <c r="N8" s="147">
        <f t="shared" si="0"/>
        <v>4505.4799999999996</v>
      </c>
      <c r="O8" s="45">
        <f t="shared" si="1"/>
        <v>1.7771296999999999</v>
      </c>
      <c r="P8" s="45">
        <v>1.75</v>
      </c>
      <c r="Q8" s="8"/>
      <c r="R8" s="144">
        <f>IF(MAX(C4:C1298)&gt;12.7,INDEX(B4:B1298,MATCH(LARGE($C$4:$C$1298,COUNTIF($C$4:$C$1298,"&gt;="&amp;12.6)),C4:C1298,0)),R5)</f>
        <v>21521.77</v>
      </c>
      <c r="S8" s="8">
        <f>MATCH(R8,B4:B1489,0)+14</f>
        <v>189</v>
      </c>
      <c r="T8" s="8"/>
    </row>
    <row r="9" spans="2:20" ht="19.5" customHeight="1">
      <c r="B9" s="125">
        <v>396.62979999999999</v>
      </c>
      <c r="C9" s="112">
        <v>0.24142449999999999</v>
      </c>
      <c r="D9" s="8"/>
      <c r="E9" s="113"/>
      <c r="F9" s="125">
        <v>4</v>
      </c>
      <c r="G9" s="8">
        <v>5.5</v>
      </c>
      <c r="H9" s="125">
        <f>IF(I9-INDEX($O$5:$O$117, MATCH(F9, $P$5:$P$117, 0))&gt;1,INDEX($O$5:$O$117, MATCH(F9, $P$5:$P$117, 0)),INDEX($O$5:$O$117, MATCH(F9-0.02, $P$5:$P$117, 0)))</f>
        <v>4.0160216999999996</v>
      </c>
      <c r="I9" s="45">
        <f>IF(INDEX($O$5:$O$117, MATCH(G9, $P$5:$P$117, 0))-INDEX($O$5:$O$117, MATCH(F9, $P$5:$P$117, 0))&gt;1,INDEX($O$5:$O$117, MATCH(G9, $P$5:$P$117, 0)),INDEX($O$5:$O$117, MATCH(G9+0.02, $P$5:$P$117, 0)))</f>
        <v>5.5278926999999998</v>
      </c>
      <c r="J9" s="8">
        <f>INDEX($N$5:$N$67, MATCH(H9, $O$5:$O$67, 0))</f>
        <v>10678.02</v>
      </c>
      <c r="K9" s="8">
        <f>INDEX($N$5:$N$67, MATCH(I9, $O$5:$O$67, 0))</f>
        <v>15006.95</v>
      </c>
      <c r="L9" s="148">
        <f>MAX(0, IFERROR((K9-J9)/(I9-H9), 0))</f>
        <v>2863.2932307055298</v>
      </c>
      <c r="M9" s="8"/>
      <c r="N9" s="147">
        <f t="shared" si="0"/>
        <v>5128.2889999999998</v>
      </c>
      <c r="O9" s="45">
        <f t="shared" si="1"/>
        <v>2.0050047000000002</v>
      </c>
      <c r="P9" s="45">
        <v>2</v>
      </c>
      <c r="Q9" s="8"/>
      <c r="R9" s="8"/>
      <c r="S9" s="8"/>
      <c r="T9" s="8"/>
    </row>
    <row r="10" spans="2:20" ht="19.5" customHeight="1">
      <c r="B10" s="125">
        <v>559.90650000000005</v>
      </c>
      <c r="C10" s="112">
        <v>0.2732849</v>
      </c>
      <c r="D10" s="8"/>
      <c r="E10" s="113"/>
      <c r="F10" s="149">
        <v>4.25</v>
      </c>
      <c r="G10" s="8">
        <v>5.75</v>
      </c>
      <c r="H10" s="125">
        <f>IF(I10-INDEX($O$5:$O$117, MATCH(F10, $P$5:$P$117, 0))&gt;1,INDEX($O$5:$O$117, MATCH(F10, $P$5:$P$117, 0)),INDEX($O$5:$O$117, MATCH(F10-0.02, $P$5:$P$117, 0)))</f>
        <v>4.3111576999999999</v>
      </c>
      <c r="I10" s="45">
        <f>IF(INDEX($O$5:$O$117, MATCH(G10, $P$5:$P$117, 0))-INDEX($O$5:$O$117, MATCH(F10, $P$5:$P$117, 0))&gt;1,INDEX($O$5:$O$117, MATCH(G10, $P$5:$P$117, 0)),INDEX($O$5:$O$117, MATCH(G10+0.02, $P$5:$P$117, 0)))</f>
        <v>5.7560726999999998</v>
      </c>
      <c r="J10" s="8">
        <f>INDEX($N$5:$N$67, MATCH(H10, $O$5:$O$67, 0))</f>
        <v>11532.33</v>
      </c>
      <c r="K10" s="8">
        <f>INDEX($N$5:$N$67, MATCH(I10, $O$5:$O$67, 0))</f>
        <v>15668.78</v>
      </c>
      <c r="L10" s="148">
        <f>MAX(0, IFERROR((K10-J10)/(I10-H10), 0))</f>
        <v>2862.7635535654354</v>
      </c>
      <c r="M10" s="8"/>
      <c r="N10" s="147">
        <f t="shared" si="0"/>
        <v>5728.1350000000002</v>
      </c>
      <c r="O10" s="45">
        <f t="shared" si="1"/>
        <v>2.2589106999999999</v>
      </c>
      <c r="P10" s="45">
        <v>2.25</v>
      </c>
      <c r="Q10" s="8"/>
      <c r="R10" s="8"/>
      <c r="S10" s="8"/>
      <c r="T10" s="8"/>
    </row>
    <row r="11" spans="2:20" ht="19.5" customHeight="1">
      <c r="B11" s="125">
        <v>644.06979999999999</v>
      </c>
      <c r="C11" s="112">
        <v>0.33822629999999998</v>
      </c>
      <c r="D11" s="8"/>
      <c r="E11" s="113"/>
      <c r="F11" s="125">
        <v>3.75</v>
      </c>
      <c r="G11" s="8">
        <v>4.75</v>
      </c>
      <c r="H11" s="125">
        <f>IF(I11-INDEX($O$5:$O$117, MATCH(F11, $P$5:$P$117, 0))&gt;1,INDEX($O$5:$O$117, MATCH(F11, $P$5:$P$117, 0)),INDEX($O$5:$O$117, MATCH(F11-0.02, $P$5:$P$117, 0)))</f>
        <v>3.7567447</v>
      </c>
      <c r="I11" s="45">
        <f>IF(INDEX($O$5:$O$117, MATCH(G11, $P$5:$P$117, 0))-INDEX($O$5:$O$117, MATCH(F11, $P$5:$P$117, 0))&gt;1,INDEX($O$5:$O$117, MATCH(G11, $P$5:$P$117, 0)),INDEX($O$5:$O$117, MATCH(G11+0.02, $P$5:$P$117, 0)))</f>
        <v>4.7725217000000004</v>
      </c>
      <c r="J11" s="8">
        <f>INDEX($N$5:$N$67, MATCH(H11, $O$5:$O$67, 0))</f>
        <v>9935.4789999999994</v>
      </c>
      <c r="K11" s="8">
        <f>INDEX($N$5:$N$67, MATCH(I11, $O$5:$O$67, 0))</f>
        <v>12842.48</v>
      </c>
      <c r="L11" s="148">
        <f>MAX(0, IFERROR((K11-J11)/(I11-H11), 0))</f>
        <v>2861.849598878493</v>
      </c>
      <c r="M11" s="8"/>
      <c r="N11" s="147">
        <f t="shared" si="0"/>
        <v>6452.6670000000004</v>
      </c>
      <c r="O11" s="45">
        <f t="shared" si="1"/>
        <v>2.5204466999999999</v>
      </c>
      <c r="P11" s="45">
        <v>2.5</v>
      </c>
      <c r="Q11" s="8"/>
      <c r="R11" s="8"/>
      <c r="S11" s="8"/>
      <c r="T11" s="8"/>
    </row>
    <row r="12" spans="2:20" ht="19.5" customHeight="1">
      <c r="B12" s="125">
        <v>726.54970000000003</v>
      </c>
      <c r="C12" s="112">
        <v>0.36965940000000003</v>
      </c>
      <c r="D12" s="8"/>
      <c r="E12" s="113"/>
      <c r="F12" s="149">
        <v>4.5</v>
      </c>
      <c r="G12" s="8">
        <v>5.5</v>
      </c>
      <c r="H12" s="125">
        <f>IF(I12-INDEX($O$5:$O$117, MATCH(F12, $P$5:$P$117, 0))&gt;1,INDEX($O$5:$O$117, MATCH(F12, $P$5:$P$117, 0)),INDEX($O$5:$O$117, MATCH(F12-0.02, $P$5:$P$117, 0)))</f>
        <v>4.5380856999999999</v>
      </c>
      <c r="I12" s="45">
        <f>IF(INDEX($O$5:$O$117, MATCH(G12, $P$5:$P$117, 0))-INDEX($O$5:$O$117, MATCH(F12, $P$5:$P$117, 0))&gt;1,INDEX($O$5:$O$117, MATCH(G12, $P$5:$P$117, 0)),INDEX($O$5:$O$117, MATCH(G12+0.02, $P$5:$P$117, 0)))</f>
        <v>5.5278926999999998</v>
      </c>
      <c r="J12" s="8">
        <f>INDEX($N$5:$N$67, MATCH(H12, $O$5:$O$67, 0))</f>
        <v>12175.59</v>
      </c>
      <c r="K12" s="8">
        <f>INDEX($N$5:$N$67, MATCH(I12, $O$5:$O$67, 0))</f>
        <v>15006.95</v>
      </c>
      <c r="L12" s="148">
        <f>MAX(0, IFERROR((K12-J12)/(I12-H12), 0))</f>
        <v>2860.5172523532374</v>
      </c>
      <c r="M12" s="8"/>
      <c r="N12" s="147">
        <f t="shared" si="0"/>
        <v>7273.2420000000002</v>
      </c>
      <c r="O12" s="45">
        <f t="shared" si="1"/>
        <v>2.7814326999999999</v>
      </c>
      <c r="P12" s="45">
        <v>2.75</v>
      </c>
      <c r="Q12" s="8"/>
      <c r="R12" s="8"/>
      <c r="S12" s="8"/>
      <c r="T12" s="8"/>
    </row>
    <row r="13" spans="2:20" ht="19.5" customHeight="1">
      <c r="B13" s="125">
        <v>894.87620000000004</v>
      </c>
      <c r="C13" s="112">
        <v>0.4360347</v>
      </c>
      <c r="D13" s="8"/>
      <c r="E13" s="8"/>
      <c r="F13" s="149">
        <v>3.25</v>
      </c>
      <c r="G13" s="8">
        <v>5.25</v>
      </c>
      <c r="H13" s="125">
        <f>IF(I13-INDEX($O$5:$O$117, MATCH(F13, $P$5:$P$117, 0))&gt;1,INDEX($O$5:$O$117, MATCH(F13, $P$5:$P$117, 0)),INDEX($O$5:$O$117, MATCH(F13-0.02, $P$5:$P$117, 0)))</f>
        <v>3.3009946999999999</v>
      </c>
      <c r="I13" s="45">
        <f>IF(INDEX($O$5:$O$117, MATCH(G13, $P$5:$P$117, 0))-INDEX($O$5:$O$117, MATCH(F13, $P$5:$P$117, 0))&gt;1,INDEX($O$5:$O$117, MATCH(G13, $P$5:$P$117, 0)),INDEX($O$5:$O$117, MATCH(G13+0.02, $P$5:$P$117, 0)))</f>
        <v>5.2681576999999997</v>
      </c>
      <c r="J13" s="8">
        <f>INDEX($N$5:$N$67, MATCH(H13, $O$5:$O$67, 0))</f>
        <v>8653.2250000000004</v>
      </c>
      <c r="K13" s="8">
        <f>INDEX($N$5:$N$67, MATCH(I13, $O$5:$O$67, 0))</f>
        <v>14274.2</v>
      </c>
      <c r="L13" s="148">
        <f>MAX(0, IFERROR((K13-J13)/(I13-H13), 0))</f>
        <v>2857.4017506429313</v>
      </c>
      <c r="M13" s="8"/>
      <c r="N13" s="147">
        <f t="shared" si="0"/>
        <v>7928.692</v>
      </c>
      <c r="O13" s="45">
        <f t="shared" si="1"/>
        <v>3.0076597</v>
      </c>
      <c r="P13" s="45">
        <v>3</v>
      </c>
      <c r="Q13" s="8"/>
      <c r="R13" s="8"/>
      <c r="S13" s="8"/>
      <c r="T13" s="8"/>
    </row>
    <row r="14" spans="2:20" ht="19.5" customHeight="1">
      <c r="B14" s="125">
        <v>979.03949999999998</v>
      </c>
      <c r="C14" s="112">
        <v>0.46868870000000001</v>
      </c>
      <c r="D14" s="8"/>
      <c r="E14" s="8"/>
      <c r="F14" s="149">
        <v>4</v>
      </c>
      <c r="G14" s="8">
        <v>6</v>
      </c>
      <c r="H14" s="125">
        <f>IF(I14-INDEX($O$5:$O$117, MATCH(F14, $P$5:$P$117, 0))&gt;1,INDEX($O$5:$O$117, MATCH(F14, $P$5:$P$117, 0)),INDEX($O$5:$O$117, MATCH(F14-0.02, $P$5:$P$117, 0)))</f>
        <v>4.0160216999999996</v>
      </c>
      <c r="I14" s="45">
        <f>IF(INDEX($O$5:$O$117, MATCH(G14, $P$5:$P$117, 0))-INDEX($O$5:$O$117, MATCH(F14, $P$5:$P$117, 0))&gt;1,INDEX($O$5:$O$117, MATCH(G14, $P$5:$P$117, 0)),INDEX($O$5:$O$117, MATCH(G14+0.02, $P$5:$P$117, 0)))</f>
        <v>6.0482487000000003</v>
      </c>
      <c r="J14" s="8">
        <f>INDEX($N$5:$N$67, MATCH(H14, $O$5:$O$67, 0))</f>
        <v>10678.02</v>
      </c>
      <c r="K14" s="8">
        <f>INDEX($N$5:$N$67, MATCH(I14, $O$5:$O$67, 0))</f>
        <v>16484.25</v>
      </c>
      <c r="L14" s="148">
        <f>MAX(0, IFERROR((K14-J14)/(I14-H14), 0))</f>
        <v>2857.0774819938902</v>
      </c>
      <c r="M14" s="8"/>
      <c r="N14" s="147">
        <f t="shared" si="0"/>
        <v>8653.2250000000004</v>
      </c>
      <c r="O14" s="45">
        <f t="shared" si="1"/>
        <v>3.3009946999999999</v>
      </c>
      <c r="P14" s="45">
        <v>3.25</v>
      </c>
      <c r="Q14" s="8"/>
      <c r="R14" s="8"/>
      <c r="S14" s="8"/>
      <c r="T14" s="8"/>
    </row>
    <row r="15" spans="2:20" ht="19.5" customHeight="1">
      <c r="B15" s="125">
        <v>1149.049</v>
      </c>
      <c r="C15" s="112">
        <v>0.50122069999999996</v>
      </c>
      <c r="D15" s="8"/>
      <c r="E15" s="8"/>
      <c r="F15" s="125">
        <v>3.5</v>
      </c>
      <c r="G15" s="8">
        <v>5.5</v>
      </c>
      <c r="H15" s="125">
        <f>IF(I15-INDEX($O$5:$O$117, MATCH(F15, $P$5:$P$117, 0))&gt;1,INDEX($O$5:$O$117, MATCH(F15, $P$5:$P$117, 0)),INDEX($O$5:$O$117, MATCH(F15-0.02, $P$5:$P$117, 0)))</f>
        <v>3.5284727</v>
      </c>
      <c r="I15" s="45">
        <f>IF(INDEX($O$5:$O$117, MATCH(G15, $P$5:$P$117, 0))-INDEX($O$5:$O$117, MATCH(F15, $P$5:$P$117, 0))&gt;1,INDEX($O$5:$O$117, MATCH(G15, $P$5:$P$117, 0)),INDEX($O$5:$O$117, MATCH(G15+0.02, $P$5:$P$117, 0)))</f>
        <v>5.5278926999999998</v>
      </c>
      <c r="J15" s="8">
        <f>INDEX($N$5:$N$67, MATCH(H15, $O$5:$O$67, 0))</f>
        <v>9300.2489999999998</v>
      </c>
      <c r="K15" s="8">
        <f>INDEX($N$5:$N$67, MATCH(I15, $O$5:$O$67, 0))</f>
        <v>15006.95</v>
      </c>
      <c r="L15" s="148">
        <f>MAX(0, IFERROR((K15-J15)/(I15-H15), 0))</f>
        <v>2854.1782116813883</v>
      </c>
      <c r="M15" s="8"/>
      <c r="N15" s="147">
        <f t="shared" si="0"/>
        <v>9300.2489999999998</v>
      </c>
      <c r="O15" s="45">
        <f t="shared" si="1"/>
        <v>3.5284727</v>
      </c>
      <c r="P15" s="45">
        <v>3.5</v>
      </c>
      <c r="Q15" s="8"/>
      <c r="R15" s="8"/>
      <c r="S15" s="8"/>
      <c r="T15" s="8"/>
    </row>
    <row r="16" spans="2:20" ht="19.5" customHeight="1">
      <c r="B16" s="125">
        <v>1233.213</v>
      </c>
      <c r="C16" s="112">
        <v>0.56524669999999999</v>
      </c>
      <c r="D16" s="8"/>
      <c r="E16" s="8"/>
      <c r="F16" s="125">
        <v>3.5</v>
      </c>
      <c r="G16" s="8">
        <v>5</v>
      </c>
      <c r="H16" s="125">
        <f>IF(I16-INDEX($O$5:$O$117, MATCH(F16, $P$5:$P$117, 0))&gt;1,INDEX($O$5:$O$117, MATCH(F16, $P$5:$P$117, 0)),INDEX($O$5:$O$117, MATCH(F16-0.02, $P$5:$P$117, 0)))</f>
        <v>3.5284727</v>
      </c>
      <c r="I16" s="45">
        <f>IF(INDEX($O$5:$O$117, MATCH(G16, $P$5:$P$117, 0))-INDEX($O$5:$O$117, MATCH(F16, $P$5:$P$117, 0))&gt;1,INDEX($O$5:$O$117, MATCH(G16, $P$5:$P$117, 0)),INDEX($O$5:$O$117, MATCH(G16+0.02, $P$5:$P$117, 0)))</f>
        <v>5.0322566999999996</v>
      </c>
      <c r="J16" s="8">
        <f>INDEX($N$5:$N$67, MATCH(H16, $O$5:$O$67, 0))</f>
        <v>9300.2489999999998</v>
      </c>
      <c r="K16" s="8">
        <f>INDEX($N$5:$N$67, MATCH(I16, $O$5:$O$67, 0))</f>
        <v>13592.11</v>
      </c>
      <c r="L16" s="148">
        <f>MAX(0, IFERROR((K16-J16)/(I16-H16), 0))</f>
        <v>2854.0408728913208</v>
      </c>
      <c r="M16" s="8"/>
      <c r="N16" s="147">
        <f t="shared" si="0"/>
        <v>9935.4789999999994</v>
      </c>
      <c r="O16" s="45">
        <f t="shared" si="1"/>
        <v>3.7567447</v>
      </c>
      <c r="P16" s="45">
        <v>3.75</v>
      </c>
      <c r="Q16" s="8"/>
      <c r="R16" s="8"/>
      <c r="S16" s="8"/>
      <c r="T16" s="8"/>
    </row>
    <row r="17" spans="2:16" ht="19.5" customHeight="1">
      <c r="B17" s="125">
        <v>1317.376</v>
      </c>
      <c r="C17" s="112">
        <v>0.59887670000000004</v>
      </c>
      <c r="D17" s="8"/>
      <c r="E17" s="8"/>
      <c r="F17" s="149">
        <v>4.5</v>
      </c>
      <c r="G17" s="8">
        <v>6</v>
      </c>
      <c r="H17" s="125">
        <f>IF(I17-INDEX($O$5:$O$117, MATCH(F17, $P$5:$P$117, 0))&gt;1,INDEX($O$5:$O$117, MATCH(F17, $P$5:$P$117, 0)),INDEX($O$5:$O$117, MATCH(F17-0.02, $P$5:$P$117, 0)))</f>
        <v>4.5380856999999999</v>
      </c>
      <c r="I17" s="45">
        <f>IF(INDEX($O$5:$O$117, MATCH(G17, $P$5:$P$117, 0))-INDEX($O$5:$O$117, MATCH(F17, $P$5:$P$117, 0))&gt;1,INDEX($O$5:$O$117, MATCH(G17, $P$5:$P$117, 0)),INDEX($O$5:$O$117, MATCH(G17+0.02, $P$5:$P$117, 0)))</f>
        <v>6.0482487000000003</v>
      </c>
      <c r="J17" s="8">
        <f>INDEX($N$5:$N$67, MATCH(H17, $O$5:$O$67, 0))</f>
        <v>12175.59</v>
      </c>
      <c r="K17" s="8">
        <f>INDEX($N$5:$N$67, MATCH(I17, $O$5:$O$67, 0))</f>
        <v>16484.25</v>
      </c>
      <c r="L17" s="148">
        <f>MAX(0, IFERROR((K17-J17)/(I17-H17), 0))</f>
        <v>2853.1092339038892</v>
      </c>
      <c r="M17" s="8"/>
      <c r="N17" s="147">
        <f t="shared" si="0"/>
        <v>10678.02</v>
      </c>
      <c r="O17" s="45">
        <f t="shared" si="1"/>
        <v>4.0160216999999996</v>
      </c>
      <c r="P17" s="45">
        <v>4</v>
      </c>
    </row>
    <row r="18" spans="2:16" ht="19.5" customHeight="1">
      <c r="B18" s="125">
        <v>1482.336</v>
      </c>
      <c r="C18" s="112">
        <v>0.6640317</v>
      </c>
      <c r="D18" s="8"/>
      <c r="E18" s="8"/>
      <c r="F18" s="125">
        <v>3.25</v>
      </c>
      <c r="G18" s="8">
        <v>4.25</v>
      </c>
      <c r="H18" s="125">
        <f>IF(I18-INDEX($O$5:$O$117, MATCH(F18, $P$5:$P$117, 0))&gt;1,INDEX($O$5:$O$117, MATCH(F18, $P$5:$P$117, 0)),INDEX($O$5:$O$117, MATCH(F18-0.02, $P$5:$P$117, 0)))</f>
        <v>3.3009946999999999</v>
      </c>
      <c r="I18" s="45">
        <f>IF(INDEX($O$5:$O$117, MATCH(G18, $P$5:$P$117, 0))-INDEX($O$5:$O$117, MATCH(F18, $P$5:$P$117, 0))&gt;1,INDEX($O$5:$O$117, MATCH(G18, $P$5:$P$117, 0)),INDEX($O$5:$O$117, MATCH(G18+0.02, $P$5:$P$117, 0)))</f>
        <v>4.3111576999999999</v>
      </c>
      <c r="J18" s="8">
        <f>INDEX($N$5:$N$67, MATCH(H18, $O$5:$O$67, 0))</f>
        <v>8653.2250000000004</v>
      </c>
      <c r="K18" s="8">
        <f>INDEX($N$5:$N$67, MATCH(I18, $O$5:$O$67, 0))</f>
        <v>11532.33</v>
      </c>
      <c r="L18" s="148">
        <f>MAX(0, IFERROR((K18-J18)/(I18-H18), 0))</f>
        <v>2850.1390369673013</v>
      </c>
      <c r="M18" s="8"/>
      <c r="N18" s="147">
        <f t="shared" si="0"/>
        <v>11532.33</v>
      </c>
      <c r="O18" s="45">
        <f t="shared" si="1"/>
        <v>4.3111576999999999</v>
      </c>
      <c r="P18" s="45">
        <v>4.25</v>
      </c>
    </row>
    <row r="19" spans="2:16" ht="19.5" customHeight="1">
      <c r="B19" s="125">
        <v>1564.816</v>
      </c>
      <c r="C19" s="112">
        <v>0.69583170000000005</v>
      </c>
      <c r="D19" s="8"/>
      <c r="E19" s="8"/>
      <c r="F19" s="149">
        <v>3.5</v>
      </c>
      <c r="G19" s="8">
        <v>4.5</v>
      </c>
      <c r="H19" s="125">
        <f>IF(I19-INDEX($O$5:$O$117, MATCH(F19, $P$5:$P$117, 0))&gt;1,INDEX($O$5:$O$117, MATCH(F19, $P$5:$P$117, 0)),INDEX($O$5:$O$117, MATCH(F19-0.02, $P$5:$P$117, 0)))</f>
        <v>3.5284727</v>
      </c>
      <c r="I19" s="45">
        <f>IF(INDEX($O$5:$O$117, MATCH(G19, $P$5:$P$117, 0))-INDEX($O$5:$O$117, MATCH(F19, $P$5:$P$117, 0))&gt;1,INDEX($O$5:$O$117, MATCH(G19, $P$5:$P$117, 0)),INDEX($O$5:$O$117, MATCH(G19+0.02, $P$5:$P$117, 0)))</f>
        <v>4.5380856999999999</v>
      </c>
      <c r="J19" s="8">
        <f>INDEX($N$5:$N$67, MATCH(H19, $O$5:$O$67, 0))</f>
        <v>9300.2489999999998</v>
      </c>
      <c r="K19" s="8">
        <f>INDEX($N$5:$N$67, MATCH(I19, $O$5:$O$67, 0))</f>
        <v>12175.59</v>
      </c>
      <c r="L19" s="148">
        <f>MAX(0, IFERROR((K19-J19)/(I19-H19), 0))</f>
        <v>2847.963526618616</v>
      </c>
      <c r="M19" s="8"/>
      <c r="N19" s="147">
        <f t="shared" si="0"/>
        <v>12175.59</v>
      </c>
      <c r="O19" s="45">
        <f t="shared" si="1"/>
        <v>4.5380856999999999</v>
      </c>
      <c r="P19" s="45">
        <v>4.5</v>
      </c>
    </row>
    <row r="20" spans="2:16" ht="19.5" customHeight="1">
      <c r="B20" s="125">
        <v>1731.4590000000001</v>
      </c>
      <c r="C20" s="112">
        <v>0.72842370000000001</v>
      </c>
      <c r="D20" s="8"/>
      <c r="E20" s="8"/>
      <c r="F20" s="125">
        <v>4.75</v>
      </c>
      <c r="G20" s="8">
        <v>6.25</v>
      </c>
      <c r="H20" s="125">
        <f>IF(I20-INDEX($O$5:$O$117, MATCH(F20, $P$5:$P$117, 0))&gt;1,INDEX($O$5:$O$117, MATCH(F20, $P$5:$P$117, 0)),INDEX($O$5:$O$117, MATCH(F20-0.02, $P$5:$P$117, 0)))</f>
        <v>4.7725217000000004</v>
      </c>
      <c r="I20" s="45">
        <f>IF(INDEX($O$5:$O$117, MATCH(G20, $P$5:$P$117, 0))-INDEX($O$5:$O$117, MATCH(F20, $P$5:$P$117, 0))&gt;1,INDEX($O$5:$O$117, MATCH(G20, $P$5:$P$117, 0)),INDEX($O$5:$O$117, MATCH(G20+0.02, $P$5:$P$117, 0)))</f>
        <v>6.2759397000000003</v>
      </c>
      <c r="J20" s="8">
        <f>INDEX($N$5:$N$67, MATCH(H20, $O$5:$O$67, 0))</f>
        <v>12842.48</v>
      </c>
      <c r="K20" s="8">
        <f>INDEX($N$5:$N$67, MATCH(I20, $O$5:$O$67, 0))</f>
        <v>17124.14</v>
      </c>
      <c r="L20" s="148">
        <f>MAX(0, IFERROR((K20-J20)/(I20-H20), 0))</f>
        <v>2847.9504701952483</v>
      </c>
      <c r="M20" s="8"/>
      <c r="N20" s="147">
        <f t="shared" ref="N20:N41" si="2">INDEX($B$4:$B$1298,MATCH(O20,$C$4:$C$1309,0),1)</f>
        <v>12842.48</v>
      </c>
      <c r="O20" s="45">
        <f t="shared" ref="O20:O41" si="3">LARGE($C$4:$C$1309,COUNTIF($C$4:$C$1309,"&gt;="&amp;P20))</f>
        <v>4.7725217000000004</v>
      </c>
      <c r="P20" s="45">
        <v>4.75</v>
      </c>
    </row>
    <row r="21" spans="2:16" ht="19.5" customHeight="1">
      <c r="B21" s="125">
        <v>1815.6220000000001</v>
      </c>
      <c r="C21" s="112">
        <v>0.79382370000000002</v>
      </c>
      <c r="D21" s="8"/>
      <c r="E21" s="8"/>
      <c r="F21" s="149">
        <v>3.25</v>
      </c>
      <c r="G21" s="8">
        <v>4.75</v>
      </c>
      <c r="H21" s="125">
        <f>IF(I21-INDEX($O$5:$O$117, MATCH(F21, $P$5:$P$117, 0))&gt;1,INDEX($O$5:$O$117, MATCH(F21, $P$5:$P$117, 0)),INDEX($O$5:$O$117, MATCH(F21-0.02, $P$5:$P$117, 0)))</f>
        <v>3.3009946999999999</v>
      </c>
      <c r="I21" s="45">
        <f>IF(INDEX($O$5:$O$117, MATCH(G21, $P$5:$P$117, 0))-INDEX($O$5:$O$117, MATCH(F21, $P$5:$P$117, 0))&gt;1,INDEX($O$5:$O$117, MATCH(G21, $P$5:$P$117, 0)),INDEX($O$5:$O$117, MATCH(G21+0.02, $P$5:$P$117, 0)))</f>
        <v>4.7725217000000004</v>
      </c>
      <c r="J21" s="8">
        <f>INDEX($N$5:$N$67, MATCH(H21, $O$5:$O$67, 0))</f>
        <v>8653.2250000000004</v>
      </c>
      <c r="K21" s="8">
        <f>INDEX($N$5:$N$67, MATCH(I21, $O$5:$O$67, 0))</f>
        <v>12842.48</v>
      </c>
      <c r="L21" s="148">
        <f>MAX(0, IFERROR((K21-J21)/(I21-H21), 0))</f>
        <v>2846.8760681931067</v>
      </c>
      <c r="M21" s="8"/>
      <c r="N21" s="147">
        <f t="shared" si="2"/>
        <v>13592.11</v>
      </c>
      <c r="O21" s="45">
        <f t="shared" si="3"/>
        <v>5.0322566999999996</v>
      </c>
      <c r="P21" s="45">
        <v>5</v>
      </c>
    </row>
    <row r="22" spans="2:16" ht="19.5" customHeight="1">
      <c r="B22" s="125">
        <v>1901.4690000000001</v>
      </c>
      <c r="C22" s="112">
        <v>0.82675169999999998</v>
      </c>
      <c r="D22" s="8"/>
      <c r="E22" s="8"/>
      <c r="F22" s="149">
        <v>5</v>
      </c>
      <c r="G22" s="8">
        <v>6</v>
      </c>
      <c r="H22" s="125">
        <f>IF(I22-INDEX($O$5:$O$117, MATCH(F22, $P$5:$P$117, 0))&gt;1,INDEX($O$5:$O$117, MATCH(F22, $P$5:$P$117, 0)),INDEX($O$5:$O$117, MATCH(F22-0.02, $P$5:$P$117, 0)))</f>
        <v>5.0322566999999996</v>
      </c>
      <c r="I22" s="45">
        <f>IF(INDEX($O$5:$O$117, MATCH(G22, $P$5:$P$117, 0))-INDEX($O$5:$O$117, MATCH(F22, $P$5:$P$117, 0))&gt;1,INDEX($O$5:$O$117, MATCH(G22, $P$5:$P$117, 0)),INDEX($O$5:$O$117, MATCH(G22+0.02, $P$5:$P$117, 0)))</f>
        <v>6.0482487000000003</v>
      </c>
      <c r="J22" s="8">
        <f>INDEX($N$5:$N$67, MATCH(H22, $O$5:$O$67, 0))</f>
        <v>13592.11</v>
      </c>
      <c r="K22" s="8">
        <f>INDEX($N$5:$N$67, MATCH(I22, $O$5:$O$67, 0))</f>
        <v>16484.25</v>
      </c>
      <c r="L22" s="148">
        <f>MAX(0, IFERROR((K22-J22)/(I22-H22), 0))</f>
        <v>2846.6169024952928</v>
      </c>
      <c r="M22" s="8"/>
      <c r="N22" s="147">
        <f t="shared" si="2"/>
        <v>14274.2</v>
      </c>
      <c r="O22" s="45">
        <f t="shared" si="3"/>
        <v>5.2681576999999997</v>
      </c>
      <c r="P22" s="45">
        <v>5.25</v>
      </c>
    </row>
    <row r="23" spans="2:16" ht="19.5" customHeight="1">
      <c r="B23" s="125">
        <v>2074.8449999999998</v>
      </c>
      <c r="C23" s="112">
        <v>0.89187570000000005</v>
      </c>
      <c r="D23" s="8"/>
      <c r="E23" s="8"/>
      <c r="F23" s="125">
        <v>4.25</v>
      </c>
      <c r="G23" s="8">
        <v>6.25</v>
      </c>
      <c r="H23" s="125">
        <f>IF(I23-INDEX($O$5:$O$117, MATCH(F23, $P$5:$P$117, 0))&gt;1,INDEX($O$5:$O$117, MATCH(F23, $P$5:$P$117, 0)),INDEX($O$5:$O$117, MATCH(F23-0.02, $P$5:$P$117, 0)))</f>
        <v>4.3111576999999999</v>
      </c>
      <c r="I23" s="45">
        <f>IF(INDEX($O$5:$O$117, MATCH(G23, $P$5:$P$117, 0))-INDEX($O$5:$O$117, MATCH(F23, $P$5:$P$117, 0))&gt;1,INDEX($O$5:$O$117, MATCH(G23, $P$5:$P$117, 0)),INDEX($O$5:$O$117, MATCH(G23+0.02, $P$5:$P$117, 0)))</f>
        <v>6.2759397000000003</v>
      </c>
      <c r="J23" s="8">
        <f>INDEX($N$5:$N$67, MATCH(H23, $O$5:$O$67, 0))</f>
        <v>11532.33</v>
      </c>
      <c r="K23" s="8">
        <f>INDEX($N$5:$N$67, MATCH(I23, $O$5:$O$67, 0))</f>
        <v>17124.14</v>
      </c>
      <c r="L23" s="148">
        <f>MAX(0, IFERROR((K23-J23)/(I23-H23), 0))</f>
        <v>2846.0205763285689</v>
      </c>
      <c r="M23" s="8"/>
      <c r="N23" s="147">
        <f t="shared" si="2"/>
        <v>15006.95</v>
      </c>
      <c r="O23" s="45">
        <f t="shared" si="3"/>
        <v>5.5278926999999998</v>
      </c>
      <c r="P23" s="45">
        <v>5.5</v>
      </c>
    </row>
    <row r="24" spans="2:16" ht="19.5" customHeight="1">
      <c r="B24" s="125">
        <v>2160.692</v>
      </c>
      <c r="C24" s="112">
        <v>0.92541470000000003</v>
      </c>
      <c r="D24" s="8"/>
      <c r="E24" s="8"/>
      <c r="F24" s="149">
        <v>5</v>
      </c>
      <c r="G24" s="8">
        <v>7</v>
      </c>
      <c r="H24" s="125">
        <f>IF(I24-INDEX($O$5:$O$117, MATCH(F24, $P$5:$P$117, 0))&gt;1,INDEX($O$5:$O$117, MATCH(F24, $P$5:$P$117, 0)),INDEX($O$5:$O$117, MATCH(F24-0.02, $P$5:$P$117, 0)))</f>
        <v>5.0322566999999996</v>
      </c>
      <c r="I24" s="45">
        <f>IF(INDEX($O$5:$O$117, MATCH(G24, $P$5:$P$117, 0))-INDEX($O$5:$O$117, MATCH(F24, $P$5:$P$117, 0))&gt;1,INDEX($O$5:$O$117, MATCH(G24, $P$5:$P$117, 0)),INDEX($O$5:$O$117, MATCH(G24+0.02, $P$5:$P$117, 0)))</f>
        <v>7.0322566999999996</v>
      </c>
      <c r="J24" s="8">
        <f>INDEX($N$5:$N$67, MATCH(H24, $O$5:$O$67, 0))</f>
        <v>13592.11</v>
      </c>
      <c r="K24" s="8">
        <f>INDEX($N$5:$N$67, MATCH(I24, $O$5:$O$67, 0))</f>
        <v>19271.72</v>
      </c>
      <c r="L24" s="148">
        <f>MAX(0, IFERROR((K24-J24)/(I24-H24), 0))</f>
        <v>2839.8050000000003</v>
      </c>
      <c r="M24" s="8"/>
      <c r="N24" s="147">
        <f t="shared" si="2"/>
        <v>15668.78</v>
      </c>
      <c r="O24" s="45">
        <f t="shared" si="3"/>
        <v>5.7560726999999998</v>
      </c>
      <c r="P24" s="45">
        <v>5.75</v>
      </c>
    </row>
    <row r="25" spans="2:16" ht="19.5" customHeight="1">
      <c r="B25" s="125">
        <v>2332.3850000000002</v>
      </c>
      <c r="C25" s="112">
        <v>0.95721469999999997</v>
      </c>
      <c r="D25" s="8"/>
      <c r="E25" s="8"/>
      <c r="F25" s="149">
        <v>4.5</v>
      </c>
      <c r="G25" s="8">
        <v>6.5</v>
      </c>
      <c r="H25" s="125">
        <f>IF(I25-INDEX($O$5:$O$117, MATCH(F25, $P$5:$P$117, 0))&gt;1,INDEX($O$5:$O$117, MATCH(F25, $P$5:$P$117, 0)),INDEX($O$5:$O$117, MATCH(F25-0.02, $P$5:$P$117, 0)))</f>
        <v>4.5380856999999999</v>
      </c>
      <c r="I25" s="45">
        <f>IF(INDEX($O$5:$O$117, MATCH(G25, $P$5:$P$117, 0))-INDEX($O$5:$O$117, MATCH(F25, $P$5:$P$117, 0))&gt;1,INDEX($O$5:$O$117, MATCH(G25, $P$5:$P$117, 0)),INDEX($O$5:$O$117, MATCH(G25+0.02, $P$5:$P$117, 0)))</f>
        <v>6.5043636999999999</v>
      </c>
      <c r="J25" s="8">
        <f>INDEX($N$5:$N$67, MATCH(H25, $O$5:$O$67, 0))</f>
        <v>12175.59</v>
      </c>
      <c r="K25" s="8">
        <f>INDEX($N$5:$N$67, MATCH(I25, $O$5:$O$67, 0))</f>
        <v>17757.27</v>
      </c>
      <c r="L25" s="148">
        <f>MAX(0, IFERROR((K25-J25)/(I25-H25), 0))</f>
        <v>2838.7033776505664</v>
      </c>
      <c r="M25" s="8"/>
      <c r="N25" s="147">
        <f t="shared" si="2"/>
        <v>16484.25</v>
      </c>
      <c r="O25" s="45">
        <f t="shared" si="3"/>
        <v>6.0482487000000003</v>
      </c>
      <c r="P25" s="45">
        <v>6</v>
      </c>
    </row>
    <row r="26" spans="2:16" ht="19.5" customHeight="1">
      <c r="B26" s="125">
        <v>2430.0140000000001</v>
      </c>
      <c r="C26" s="112">
        <v>1.0275266999999999</v>
      </c>
      <c r="D26" s="8"/>
      <c r="E26" s="8"/>
      <c r="F26" s="149">
        <v>2.5</v>
      </c>
      <c r="G26" s="8">
        <v>4.5</v>
      </c>
      <c r="H26" s="125">
        <f>IF(I26-INDEX($O$5:$O$117, MATCH(F26, $P$5:$P$117, 0))&gt;1,INDEX($O$5:$O$117, MATCH(F26, $P$5:$P$117, 0)),INDEX($O$5:$O$117, MATCH(F26-0.02, $P$5:$P$117, 0)))</f>
        <v>2.5204466999999999</v>
      </c>
      <c r="I26" s="45">
        <f>IF(INDEX($O$5:$O$117, MATCH(G26, $P$5:$P$117, 0))-INDEX($O$5:$O$117, MATCH(F26, $P$5:$P$117, 0))&gt;1,INDEX($O$5:$O$117, MATCH(G26, $P$5:$P$117, 0)),INDEX($O$5:$O$117, MATCH(G26+0.02, $P$5:$P$117, 0)))</f>
        <v>4.5380856999999999</v>
      </c>
      <c r="J26" s="8">
        <f>INDEX($N$5:$N$67, MATCH(H26, $O$5:$O$67, 0))</f>
        <v>6452.6670000000004</v>
      </c>
      <c r="K26" s="8">
        <f>INDEX($N$5:$N$67, MATCH(I26, $O$5:$O$67, 0))</f>
        <v>12175.59</v>
      </c>
      <c r="L26" s="148">
        <f>MAX(0, IFERROR((K26-J26)/(I26-H26), 0))</f>
        <v>2836.4454691845272</v>
      </c>
      <c r="M26" s="8"/>
      <c r="N26" s="147">
        <f t="shared" si="2"/>
        <v>17124.14</v>
      </c>
      <c r="O26" s="45">
        <f t="shared" si="3"/>
        <v>6.2759397000000003</v>
      </c>
      <c r="P26" s="45">
        <v>6.25</v>
      </c>
    </row>
    <row r="27" spans="2:16" ht="19.5" customHeight="1">
      <c r="B27" s="125">
        <v>2514.1779999999999</v>
      </c>
      <c r="C27" s="112">
        <v>1.0612187</v>
      </c>
      <c r="D27" s="8"/>
      <c r="E27" s="8"/>
      <c r="F27" s="149">
        <v>5.5</v>
      </c>
      <c r="G27" s="8">
        <v>7</v>
      </c>
      <c r="H27" s="125">
        <f>IF(I27-INDEX($O$5:$O$117, MATCH(F27, $P$5:$P$117, 0))&gt;1,INDEX($O$5:$O$117, MATCH(F27, $P$5:$P$117, 0)),INDEX($O$5:$O$117, MATCH(F27-0.02, $P$5:$P$117, 0)))</f>
        <v>5.5278926999999998</v>
      </c>
      <c r="I27" s="45">
        <f>IF(INDEX($O$5:$O$117, MATCH(G27, $P$5:$P$117, 0))-INDEX($O$5:$O$117, MATCH(F27, $P$5:$P$117, 0))&gt;1,INDEX($O$5:$O$117, MATCH(G27, $P$5:$P$117, 0)),INDEX($O$5:$O$117, MATCH(G27+0.02, $P$5:$P$117, 0)))</f>
        <v>7.0322566999999996</v>
      </c>
      <c r="J27" s="8">
        <f>INDEX($N$5:$N$67, MATCH(H27, $O$5:$O$67, 0))</f>
        <v>15006.95</v>
      </c>
      <c r="K27" s="8">
        <f>INDEX($N$5:$N$67, MATCH(I27, $O$5:$O$67, 0))</f>
        <v>19271.72</v>
      </c>
      <c r="L27" s="148">
        <f>MAX(0, IFERROR((K27-J27)/(I27-H27), 0))</f>
        <v>2834.9322371447342</v>
      </c>
      <c r="M27" s="8"/>
      <c r="N27" s="147">
        <f t="shared" si="2"/>
        <v>17757.27</v>
      </c>
      <c r="O27" s="45">
        <f t="shared" si="3"/>
        <v>6.5043636999999999</v>
      </c>
      <c r="P27" s="45">
        <v>6.5</v>
      </c>
    </row>
    <row r="28" spans="2:16" ht="19.5" customHeight="1">
      <c r="B28" s="125">
        <v>2685.87</v>
      </c>
      <c r="C28" s="112">
        <v>1.0949707</v>
      </c>
      <c r="D28" s="8"/>
      <c r="E28" s="8"/>
      <c r="F28" s="149">
        <v>5</v>
      </c>
      <c r="G28" s="8">
        <v>6.5</v>
      </c>
      <c r="H28" s="125">
        <f>IF(I28-INDEX($O$5:$O$117, MATCH(F28, $P$5:$P$117, 0))&gt;1,INDEX($O$5:$O$117, MATCH(F28, $P$5:$P$117, 0)),INDEX($O$5:$O$117, MATCH(F28-0.02, $P$5:$P$117, 0)))</f>
        <v>5.0322566999999996</v>
      </c>
      <c r="I28" s="45">
        <f>IF(INDEX($O$5:$O$117, MATCH(G28, $P$5:$P$117, 0))-INDEX($O$5:$O$117, MATCH(F28, $P$5:$P$117, 0))&gt;1,INDEX($O$5:$O$117, MATCH(G28, $P$5:$P$117, 0)),INDEX($O$5:$O$117, MATCH(G28+0.02, $P$5:$P$117, 0)))</f>
        <v>6.5043636999999999</v>
      </c>
      <c r="J28" s="8">
        <f>INDEX($N$5:$N$67, MATCH(H28, $O$5:$O$67, 0))</f>
        <v>13592.11</v>
      </c>
      <c r="K28" s="8">
        <f>INDEX($N$5:$N$67, MATCH(I28, $O$5:$O$67, 0))</f>
        <v>17757.27</v>
      </c>
      <c r="L28" s="148">
        <f>MAX(0, IFERROR((K28-J28)/(I28-H28), 0))</f>
        <v>2829.3867225683998</v>
      </c>
      <c r="M28" s="8"/>
      <c r="N28" s="147">
        <f t="shared" si="2"/>
        <v>18468.060000000001</v>
      </c>
      <c r="O28" s="45">
        <f t="shared" si="3"/>
        <v>6.7666627000000004</v>
      </c>
      <c r="P28" s="45">
        <v>6.75</v>
      </c>
    </row>
    <row r="29" spans="2:16" ht="19.5" customHeight="1">
      <c r="B29" s="125">
        <v>2770.0340000000001</v>
      </c>
      <c r="C29" s="112">
        <v>1.1581726999999999</v>
      </c>
      <c r="D29" s="8"/>
      <c r="E29" s="8"/>
      <c r="F29" s="125">
        <v>2.25</v>
      </c>
      <c r="G29" s="8">
        <v>4.25</v>
      </c>
      <c r="H29" s="125">
        <f>IF(I29-INDEX($O$5:$O$117, MATCH(F29, $P$5:$P$117, 0))&gt;1,INDEX($O$5:$O$117, MATCH(F29, $P$5:$P$117, 0)),INDEX($O$5:$O$117, MATCH(F29-0.02, $P$5:$P$117, 0)))</f>
        <v>2.2589106999999999</v>
      </c>
      <c r="I29" s="45">
        <f>IF(INDEX($O$5:$O$117, MATCH(G29, $P$5:$P$117, 0))-INDEX($O$5:$O$117, MATCH(F29, $P$5:$P$117, 0))&gt;1,INDEX($O$5:$O$117, MATCH(G29, $P$5:$P$117, 0)),INDEX($O$5:$O$117, MATCH(G29+0.02, $P$5:$P$117, 0)))</f>
        <v>4.3111576999999999</v>
      </c>
      <c r="J29" s="8">
        <f>INDEX($N$5:$N$67, MATCH(H29, $O$5:$O$67, 0))</f>
        <v>5728.1350000000002</v>
      </c>
      <c r="K29" s="8">
        <f>INDEX($N$5:$N$67, MATCH(I29, $O$5:$O$67, 0))</f>
        <v>11532.33</v>
      </c>
      <c r="L29" s="148">
        <f>MAX(0, IFERROR((K29-J29)/(I29-H29), 0))</f>
        <v>2828.2146349830209</v>
      </c>
      <c r="M29" s="8"/>
      <c r="N29" s="147">
        <f t="shared" si="2"/>
        <v>19271.72</v>
      </c>
      <c r="O29" s="45">
        <f t="shared" si="3"/>
        <v>7.0322566999999996</v>
      </c>
      <c r="P29" s="45">
        <v>7</v>
      </c>
    </row>
    <row r="30" spans="2:16" ht="19.5" customHeight="1">
      <c r="B30" s="125">
        <v>2855.88</v>
      </c>
      <c r="C30" s="112">
        <v>1.1912837000000001</v>
      </c>
      <c r="D30" s="8"/>
      <c r="E30" s="8"/>
      <c r="F30" s="125">
        <v>5.25</v>
      </c>
      <c r="G30" s="8">
        <v>6.25</v>
      </c>
      <c r="H30" s="125">
        <f>IF(I30-INDEX($O$5:$O$117, MATCH(F30, $P$5:$P$117, 0))&gt;1,INDEX($O$5:$O$117, MATCH(F30, $P$5:$P$117, 0)),INDEX($O$5:$O$117, MATCH(F30-0.02, $P$5:$P$117, 0)))</f>
        <v>5.2681576999999997</v>
      </c>
      <c r="I30" s="45">
        <f>IF(INDEX($O$5:$O$117, MATCH(G30, $P$5:$P$117, 0))-INDEX($O$5:$O$117, MATCH(F30, $P$5:$P$117, 0))&gt;1,INDEX($O$5:$O$117, MATCH(G30, $P$5:$P$117, 0)),INDEX($O$5:$O$117, MATCH(G30+0.02, $P$5:$P$117, 0)))</f>
        <v>6.2759397000000003</v>
      </c>
      <c r="J30" s="8">
        <f>INDEX($N$5:$N$67, MATCH(H30, $O$5:$O$67, 0))</f>
        <v>14274.2</v>
      </c>
      <c r="K30" s="8">
        <f>INDEX($N$5:$N$67, MATCH(I30, $O$5:$O$67, 0))</f>
        <v>17124.14</v>
      </c>
      <c r="L30" s="148">
        <f>MAX(0, IFERROR((K30-J30)/(I30-H30), 0))</f>
        <v>2827.9330251979068</v>
      </c>
      <c r="M30" s="8"/>
      <c r="N30" s="147">
        <f t="shared" si="2"/>
        <v>19866.009999999998</v>
      </c>
      <c r="O30" s="45">
        <f t="shared" si="3"/>
        <v>7.2589417000000003</v>
      </c>
      <c r="P30" s="45">
        <v>7.25</v>
      </c>
    </row>
    <row r="31" spans="2:16" ht="19.5" customHeight="1">
      <c r="B31" s="125">
        <v>3027.5729999999999</v>
      </c>
      <c r="C31" s="112">
        <v>1.2573856999999999</v>
      </c>
      <c r="D31" s="8"/>
      <c r="E31" s="8"/>
      <c r="F31" s="149">
        <v>1.5</v>
      </c>
      <c r="G31" s="8">
        <v>3</v>
      </c>
      <c r="H31" s="125">
        <f>IF(I31-INDEX($O$5:$O$117, MATCH(F31, $P$5:$P$117, 0))&gt;1,INDEX($O$5:$O$117, MATCH(F31, $P$5:$P$117, 0)),INDEX($O$5:$O$117, MATCH(F31-0.02, $P$5:$P$117, 0)))</f>
        <v>1.5181576999999999</v>
      </c>
      <c r="I31" s="45">
        <f>IF(INDEX($O$5:$O$117, MATCH(G31, $P$5:$P$117, 0))-INDEX($O$5:$O$117, MATCH(F31, $P$5:$P$117, 0))&gt;1,INDEX($O$5:$O$117, MATCH(G31, $P$5:$P$117, 0)),INDEX($O$5:$O$117, MATCH(G31+0.02, $P$5:$P$117, 0)))</f>
        <v>3.0076597</v>
      </c>
      <c r="J31" s="8">
        <f>INDEX($N$5:$N$67, MATCH(H31, $O$5:$O$67, 0))</f>
        <v>3719.395</v>
      </c>
      <c r="K31" s="8">
        <f>INDEX($N$5:$N$67, MATCH(I31, $O$5:$O$67, 0))</f>
        <v>7928.692</v>
      </c>
      <c r="L31" s="148">
        <f>MAX(0, IFERROR((K31-J31)/(I31-H31), 0))</f>
        <v>2825.9760644832973</v>
      </c>
      <c r="M31" s="8"/>
      <c r="N31" s="147">
        <f t="shared" si="2"/>
        <v>20523.150000000001</v>
      </c>
      <c r="O31" s="45">
        <f t="shared" si="3"/>
        <v>7.5537106999999999</v>
      </c>
      <c r="P31" s="45">
        <v>7.5</v>
      </c>
    </row>
    <row r="32" spans="2:16" ht="19.5" customHeight="1">
      <c r="B32" s="125">
        <v>3115.1030000000001</v>
      </c>
      <c r="C32" s="112">
        <v>1.2894287</v>
      </c>
      <c r="D32" s="8"/>
      <c r="E32" s="8"/>
      <c r="F32" s="149">
        <v>2.5</v>
      </c>
      <c r="G32" s="8">
        <v>4</v>
      </c>
      <c r="H32" s="125">
        <f>IF(I32-INDEX($O$5:$O$117, MATCH(F32, $P$5:$P$117, 0))&gt;1,INDEX($O$5:$O$117, MATCH(F32, $P$5:$P$117, 0)),INDEX($O$5:$O$117, MATCH(F32-0.02, $P$5:$P$117, 0)))</f>
        <v>2.5204466999999999</v>
      </c>
      <c r="I32" s="45">
        <f>IF(INDEX($O$5:$O$117, MATCH(G32, $P$5:$P$117, 0))-INDEX($O$5:$O$117, MATCH(F32, $P$5:$P$117, 0))&gt;1,INDEX($O$5:$O$117, MATCH(G32, $P$5:$P$117, 0)),INDEX($O$5:$O$117, MATCH(G32+0.02, $P$5:$P$117, 0)))</f>
        <v>4.0160216999999996</v>
      </c>
      <c r="J32" s="8">
        <f>INDEX($N$5:$N$67, MATCH(H32, $O$5:$O$67, 0))</f>
        <v>6452.6670000000004</v>
      </c>
      <c r="K32" s="8">
        <f>INDEX($N$5:$N$67, MATCH(I32, $O$5:$O$67, 0))</f>
        <v>10678.02</v>
      </c>
      <c r="L32" s="148">
        <f>MAX(0, IFERROR((K32-J32)/(I32-H32), 0))</f>
        <v>2825.2364475201853</v>
      </c>
      <c r="M32" s="8"/>
      <c r="N32" s="147">
        <f t="shared" si="2"/>
        <v>21082.44</v>
      </c>
      <c r="O32" s="45">
        <f t="shared" si="3"/>
        <v>7.7821046999999997</v>
      </c>
      <c r="P32" s="45">
        <v>7.75</v>
      </c>
    </row>
    <row r="33" spans="2:16" ht="19.5" customHeight="1">
      <c r="B33" s="125">
        <v>3286.7959999999998</v>
      </c>
      <c r="C33" s="112">
        <v>1.3208617</v>
      </c>
      <c r="D33" s="8"/>
      <c r="E33" s="8"/>
      <c r="F33" s="149">
        <v>2.5</v>
      </c>
      <c r="G33" s="8">
        <v>3.5</v>
      </c>
      <c r="H33" s="125">
        <f>IF(I33-INDEX($O$5:$O$117, MATCH(F33, $P$5:$P$117, 0))&gt;1,INDEX($O$5:$O$117, MATCH(F33, $P$5:$P$117, 0)),INDEX($O$5:$O$117, MATCH(F33-0.02, $P$5:$P$117, 0)))</f>
        <v>2.5204466999999999</v>
      </c>
      <c r="I33" s="45">
        <f>IF(INDEX($O$5:$O$117, MATCH(G33, $P$5:$P$117, 0))-INDEX($O$5:$O$117, MATCH(F33, $P$5:$P$117, 0))&gt;1,INDEX($O$5:$O$117, MATCH(G33, $P$5:$P$117, 0)),INDEX($O$5:$O$117, MATCH(G33+0.02, $P$5:$P$117, 0)))</f>
        <v>3.5284727</v>
      </c>
      <c r="J33" s="8">
        <f>INDEX($N$5:$N$67, MATCH(H33, $O$5:$O$67, 0))</f>
        <v>6452.6670000000004</v>
      </c>
      <c r="K33" s="8">
        <f>INDEX($N$5:$N$67, MATCH(I33, $O$5:$O$67, 0))</f>
        <v>9300.2489999999998</v>
      </c>
      <c r="L33" s="148">
        <f>MAX(0, IFERROR((K33-J33)/(I33-H33), 0))</f>
        <v>2824.9092781336981</v>
      </c>
      <c r="M33" s="8"/>
      <c r="N33" s="147">
        <f t="shared" si="2"/>
        <v>18327.93</v>
      </c>
      <c r="O33" s="45">
        <f t="shared" si="3"/>
        <v>8.0078736999999993</v>
      </c>
      <c r="P33" s="45">
        <v>8</v>
      </c>
    </row>
    <row r="34" spans="2:16" ht="19.5" customHeight="1">
      <c r="B34" s="125">
        <v>3374.326</v>
      </c>
      <c r="C34" s="112">
        <v>1.3862307</v>
      </c>
      <c r="D34" s="8"/>
      <c r="E34" s="8"/>
      <c r="F34" s="125">
        <v>4.75</v>
      </c>
      <c r="G34" s="8">
        <v>6.75</v>
      </c>
      <c r="H34" s="125">
        <f>IF(I34-INDEX($O$5:$O$117, MATCH(F34, $P$5:$P$117, 0))&gt;1,INDEX($O$5:$O$117, MATCH(F34, $P$5:$P$117, 0)),INDEX($O$5:$O$117, MATCH(F34-0.02, $P$5:$P$117, 0)))</f>
        <v>4.7725217000000004</v>
      </c>
      <c r="I34" s="45">
        <f>IF(INDEX($O$5:$O$117, MATCH(G34, $P$5:$P$117, 0))-INDEX($O$5:$O$117, MATCH(F34, $P$5:$P$117, 0))&gt;1,INDEX($O$5:$O$117, MATCH(G34, $P$5:$P$117, 0)),INDEX($O$5:$O$117, MATCH(G34+0.02, $P$5:$P$117, 0)))</f>
        <v>6.7666627000000004</v>
      </c>
      <c r="J34" s="8">
        <f>INDEX($N$5:$N$67, MATCH(H34, $O$5:$O$67, 0))</f>
        <v>12842.48</v>
      </c>
      <c r="K34" s="8">
        <f>INDEX($N$5:$N$67, MATCH(I34, $O$5:$O$67, 0))</f>
        <v>18468.060000000001</v>
      </c>
      <c r="L34" s="148">
        <f>MAX(0, IFERROR((K34-J34)/(I34-H34), 0))</f>
        <v>2821.0542785088928</v>
      </c>
      <c r="M34" s="8"/>
      <c r="N34" s="147">
        <f t="shared" si="2"/>
        <v>421.87880000000001</v>
      </c>
      <c r="O34" s="45">
        <f t="shared" si="3"/>
        <v>8.2694086999999996</v>
      </c>
      <c r="P34" s="45">
        <v>8.25</v>
      </c>
    </row>
    <row r="35" spans="2:16" ht="19.5" customHeight="1">
      <c r="B35" s="125">
        <v>3458.489</v>
      </c>
      <c r="C35" s="112">
        <v>1.4191286999999999</v>
      </c>
      <c r="D35" s="8"/>
      <c r="E35" s="150"/>
      <c r="F35" s="125">
        <v>2.25</v>
      </c>
      <c r="G35" s="8">
        <v>3.75</v>
      </c>
      <c r="H35" s="125">
        <f>IF(I35-INDEX($O$5:$O$117, MATCH(F35, $P$5:$P$117, 0))&gt;1,INDEX($O$5:$O$117, MATCH(F35, $P$5:$P$117, 0)),INDEX($O$5:$O$117, MATCH(F35-0.02, $P$5:$P$117, 0)))</f>
        <v>2.2589106999999999</v>
      </c>
      <c r="I35" s="45">
        <f>IF(INDEX($O$5:$O$117, MATCH(G35, $P$5:$P$117, 0))-INDEX($O$5:$O$117, MATCH(F35, $P$5:$P$117, 0))&gt;1,INDEX($O$5:$O$117, MATCH(G35, $P$5:$P$117, 0)),INDEX($O$5:$O$117, MATCH(G35+0.02, $P$5:$P$117, 0)))</f>
        <v>3.7567447</v>
      </c>
      <c r="J35" s="8">
        <f>INDEX($N$5:$N$67, MATCH(H35, $O$5:$O$67, 0))</f>
        <v>5728.1350000000002</v>
      </c>
      <c r="K35" s="8">
        <f>INDEX($N$5:$N$67, MATCH(I35, $O$5:$O$67, 0))</f>
        <v>9935.4789999999994</v>
      </c>
      <c r="L35" s="148">
        <f>MAX(0, IFERROR((K35-J35)/(I35-H35), 0))</f>
        <v>2808.952126871201</v>
      </c>
      <c r="M35" s="8"/>
      <c r="N35" s="147">
        <f t="shared" si="2"/>
        <v>448.81099999999998</v>
      </c>
      <c r="O35" s="45">
        <f t="shared" si="3"/>
        <v>8.5614927000000005</v>
      </c>
      <c r="P35" s="45">
        <v>8.5</v>
      </c>
    </row>
    <row r="36" spans="2:16" ht="19.5" customHeight="1">
      <c r="B36" s="125">
        <v>3633.549</v>
      </c>
      <c r="C36" s="112">
        <v>1.4840087</v>
      </c>
      <c r="D36" s="8"/>
      <c r="E36" s="150"/>
      <c r="F36" s="149">
        <v>5.25</v>
      </c>
      <c r="G36" s="8">
        <v>7.25</v>
      </c>
      <c r="H36" s="125">
        <f>IF(I36-INDEX($O$5:$O$117, MATCH(F36, $P$5:$P$117, 0))&gt;1,INDEX($O$5:$O$117, MATCH(F36, $P$5:$P$117, 0)),INDEX($O$5:$O$117, MATCH(F36-0.02, $P$5:$P$117, 0)))</f>
        <v>5.2681576999999997</v>
      </c>
      <c r="I36" s="45">
        <f>IF(INDEX($O$5:$O$117, MATCH(G36, $P$5:$P$117, 0))-INDEX($O$5:$O$117, MATCH(F36, $P$5:$P$117, 0))&gt;1,INDEX($O$5:$O$117, MATCH(G36, $P$5:$P$117, 0)),INDEX($O$5:$O$117, MATCH(G36+0.02, $P$5:$P$117, 0)))</f>
        <v>7.2589417000000003</v>
      </c>
      <c r="J36" s="8">
        <f>INDEX($N$5:$N$67, MATCH(H36, $O$5:$O$67, 0))</f>
        <v>14274.2</v>
      </c>
      <c r="K36" s="8">
        <f>INDEX($N$5:$N$67, MATCH(I36, $O$5:$O$67, 0))</f>
        <v>19866.009999999998</v>
      </c>
      <c r="L36" s="148">
        <f>MAX(0, IFERROR((K36-J36)/(I36-H36), 0))</f>
        <v>2808.8481723783175</v>
      </c>
      <c r="M36" s="8"/>
      <c r="N36" s="147">
        <f t="shared" si="2"/>
        <v>465.64359999999999</v>
      </c>
      <c r="O36" s="45">
        <f t="shared" si="3"/>
        <v>8.7897037000000005</v>
      </c>
      <c r="P36" s="45">
        <v>8.75</v>
      </c>
    </row>
    <row r="37" spans="2:16" ht="19.5" customHeight="1">
      <c r="B37" s="125">
        <v>3719.395</v>
      </c>
      <c r="C37" s="112">
        <v>1.5181576999999999</v>
      </c>
      <c r="D37" s="8"/>
      <c r="E37" s="150"/>
      <c r="F37" s="125">
        <v>2.25</v>
      </c>
      <c r="G37" s="8">
        <v>3.25</v>
      </c>
      <c r="H37" s="125">
        <f>IF(I37-INDEX($O$5:$O$117, MATCH(F37, $P$5:$P$117, 0))&gt;1,INDEX($O$5:$O$117, MATCH(F37, $P$5:$P$117, 0)),INDEX($O$5:$O$117, MATCH(F37-0.02, $P$5:$P$117, 0)))</f>
        <v>2.2589106999999999</v>
      </c>
      <c r="I37" s="45">
        <f>IF(INDEX($O$5:$O$117, MATCH(G37, $P$5:$P$117, 0))-INDEX($O$5:$O$117, MATCH(F37, $P$5:$P$117, 0))&gt;1,INDEX($O$5:$O$117, MATCH(G37, $P$5:$P$117, 0)),INDEX($O$5:$O$117, MATCH(G37+0.02, $P$5:$P$117, 0)))</f>
        <v>3.3009946999999999</v>
      </c>
      <c r="J37" s="8">
        <f>INDEX($N$5:$N$67, MATCH(H37, $O$5:$O$67, 0))</f>
        <v>5728.1350000000002</v>
      </c>
      <c r="K37" s="8">
        <f>INDEX($N$5:$N$67, MATCH(I37, $O$5:$O$67, 0))</f>
        <v>8653.2250000000004</v>
      </c>
      <c r="L37" s="148">
        <f>MAX(0, IFERROR((K37-J37)/(I37-H37), 0))</f>
        <v>2806.9618188169093</v>
      </c>
      <c r="M37" s="8"/>
      <c r="N37" s="147">
        <f t="shared" si="2"/>
        <v>484.15960000000001</v>
      </c>
      <c r="O37" s="45">
        <f t="shared" si="3"/>
        <v>9.0181886999999996</v>
      </c>
      <c r="P37" s="45">
        <v>9</v>
      </c>
    </row>
    <row r="38" spans="2:16" ht="19.5" customHeight="1">
      <c r="B38" s="125">
        <v>3892.7719999999999</v>
      </c>
      <c r="C38" s="112">
        <v>1.5491337000000001</v>
      </c>
      <c r="D38" s="8"/>
      <c r="E38" s="150"/>
      <c r="F38" s="125">
        <v>5.25</v>
      </c>
      <c r="G38" s="8">
        <v>6.75</v>
      </c>
      <c r="H38" s="125">
        <f>IF(I38-INDEX($O$5:$O$117, MATCH(F38, $P$5:$P$117, 0))&gt;1,INDEX($O$5:$O$117, MATCH(F38, $P$5:$P$117, 0)),INDEX($O$5:$O$117, MATCH(F38-0.02, $P$5:$P$117, 0)))</f>
        <v>5.2681576999999997</v>
      </c>
      <c r="I38" s="45">
        <f>IF(INDEX($O$5:$O$117, MATCH(G38, $P$5:$P$117, 0))-INDEX($O$5:$O$117, MATCH(F38, $P$5:$P$117, 0))&gt;1,INDEX($O$5:$O$117, MATCH(G38, $P$5:$P$117, 0)),INDEX($O$5:$O$117, MATCH(G38+0.02, $P$5:$P$117, 0)))</f>
        <v>6.7666627000000004</v>
      </c>
      <c r="J38" s="8">
        <f>INDEX($N$5:$N$67, MATCH(H38, $O$5:$O$67, 0))</f>
        <v>14274.2</v>
      </c>
      <c r="K38" s="8">
        <f>INDEX($N$5:$N$67, MATCH(I38, $O$5:$O$67, 0))</f>
        <v>18468.060000000001</v>
      </c>
      <c r="L38" s="148">
        <f>MAX(0, IFERROR((K38-J38)/(I38-H38), 0))</f>
        <v>2798.6960337136006</v>
      </c>
      <c r="M38" s="8"/>
      <c r="N38" s="147">
        <f t="shared" si="2"/>
        <v>502.6755</v>
      </c>
      <c r="O38" s="45">
        <f t="shared" si="3"/>
        <v>9.2768557000000005</v>
      </c>
      <c r="P38" s="45">
        <v>9.25</v>
      </c>
    </row>
    <row r="39" spans="2:16" ht="19.5" customHeight="1">
      <c r="B39" s="125">
        <v>3980.3009999999999</v>
      </c>
      <c r="C39" s="112">
        <v>1.6141057000000001</v>
      </c>
      <c r="D39" s="8"/>
      <c r="E39" s="150"/>
      <c r="F39" s="125">
        <v>3</v>
      </c>
      <c r="G39" s="8">
        <v>5</v>
      </c>
      <c r="H39" s="125">
        <f>IF(I39-INDEX($O$5:$O$117, MATCH(F39, $P$5:$P$117, 0))&gt;1,INDEX($O$5:$O$117, MATCH(F39, $P$5:$P$117, 0)),INDEX($O$5:$O$117, MATCH(F39-0.02, $P$5:$P$117, 0)))</f>
        <v>3.0076597</v>
      </c>
      <c r="I39" s="45">
        <f>IF(INDEX($O$5:$O$117, MATCH(G39, $P$5:$P$117, 0))-INDEX($O$5:$O$117, MATCH(F39, $P$5:$P$117, 0))&gt;1,INDEX($O$5:$O$117, MATCH(G39, $P$5:$P$117, 0)),INDEX($O$5:$O$117, MATCH(G39+0.02, $P$5:$P$117, 0)))</f>
        <v>5.0322566999999996</v>
      </c>
      <c r="J39" s="8">
        <f>INDEX($N$5:$N$67, MATCH(H39, $O$5:$O$67, 0))</f>
        <v>7928.692</v>
      </c>
      <c r="K39" s="8">
        <f>INDEX($N$5:$N$67, MATCH(I39, $O$5:$O$67, 0))</f>
        <v>13592.11</v>
      </c>
      <c r="L39" s="148">
        <f>MAX(0, IFERROR((K39-J39)/(I39-H39), 0))</f>
        <v>2797.3063281235732</v>
      </c>
      <c r="M39" s="8"/>
      <c r="N39" s="147">
        <f t="shared" si="2"/>
        <v>519.50810000000001</v>
      </c>
      <c r="O39" s="45">
        <f t="shared" si="3"/>
        <v>9.5049156999999997</v>
      </c>
      <c r="P39" s="45">
        <v>9.5</v>
      </c>
    </row>
    <row r="40" spans="2:16" ht="19.5" customHeight="1">
      <c r="B40" s="125">
        <v>4067.8319999999999</v>
      </c>
      <c r="C40" s="112">
        <v>1.6467897</v>
      </c>
      <c r="D40" s="8"/>
      <c r="E40" s="150"/>
      <c r="F40" s="149">
        <v>2.75</v>
      </c>
      <c r="G40" s="8">
        <v>4.75</v>
      </c>
      <c r="H40" s="125">
        <f>IF(I40-INDEX($O$5:$O$117, MATCH(F40, $P$5:$P$117, 0))&gt;1,INDEX($O$5:$O$117, MATCH(F40, $P$5:$P$117, 0)),INDEX($O$5:$O$117, MATCH(F40-0.02, $P$5:$P$117, 0)))</f>
        <v>2.7814326999999999</v>
      </c>
      <c r="I40" s="45">
        <f>IF(INDEX($O$5:$O$117, MATCH(G40, $P$5:$P$117, 0))-INDEX($O$5:$O$117, MATCH(F40, $P$5:$P$117, 0))&gt;1,INDEX($O$5:$O$117, MATCH(G40, $P$5:$P$117, 0)),INDEX($O$5:$O$117, MATCH(G40+0.02, $P$5:$P$117, 0)))</f>
        <v>4.7725217000000004</v>
      </c>
      <c r="J40" s="8">
        <f>INDEX($N$5:$N$67, MATCH(H40, $O$5:$O$67, 0))</f>
        <v>7273.2420000000002</v>
      </c>
      <c r="K40" s="8">
        <f>INDEX($N$5:$N$67, MATCH(I40, $O$5:$O$67, 0))</f>
        <v>12842.48</v>
      </c>
      <c r="L40" s="148">
        <f>MAX(0, IFERROR((K40-J40)/(I40-H40), 0))</f>
        <v>2797.0813961605922</v>
      </c>
      <c r="M40" s="8"/>
      <c r="N40" s="147">
        <f t="shared" si="2"/>
        <v>543.07389999999998</v>
      </c>
      <c r="O40" s="45">
        <f t="shared" si="3"/>
        <v>9.7963857000000001</v>
      </c>
      <c r="P40" s="45">
        <v>9.75</v>
      </c>
    </row>
    <row r="41" spans="2:16" ht="19.5" customHeight="1">
      <c r="B41" s="125">
        <v>4242.8909999999996</v>
      </c>
      <c r="C41" s="112">
        <v>1.7120967</v>
      </c>
      <c r="D41" s="8"/>
      <c r="E41" s="150"/>
      <c r="F41" s="149">
        <v>2</v>
      </c>
      <c r="G41" s="8">
        <v>3</v>
      </c>
      <c r="H41" s="125">
        <f>IF(I41-INDEX($O$5:$O$117, MATCH(F41, $P$5:$P$117, 0))&gt;1,INDEX($O$5:$O$117, MATCH(F41, $P$5:$P$117, 0)),INDEX($O$5:$O$117, MATCH(F41-0.02, $P$5:$P$117, 0)))</f>
        <v>2.0050047000000002</v>
      </c>
      <c r="I41" s="45">
        <f>IF(INDEX($O$5:$O$117, MATCH(G41, $P$5:$P$117, 0))-INDEX($O$5:$O$117, MATCH(F41, $P$5:$P$117, 0))&gt;1,INDEX($O$5:$O$117, MATCH(G41, $P$5:$P$117, 0)),INDEX($O$5:$O$117, MATCH(G41+0.02, $P$5:$P$117, 0)))</f>
        <v>3.0076597</v>
      </c>
      <c r="J41" s="8">
        <f>INDEX($N$5:$N$67, MATCH(H41, $O$5:$O$67, 0))</f>
        <v>5128.2889999999998</v>
      </c>
      <c r="K41" s="8">
        <f>INDEX($N$5:$N$67, MATCH(I41, $O$5:$O$67, 0))</f>
        <v>7928.692</v>
      </c>
      <c r="L41" s="148">
        <f>MAX(0, IFERROR((K41-J41)/(I41-H41), 0))</f>
        <v>2792.987617874544</v>
      </c>
      <c r="M41" s="8"/>
      <c r="N41" s="147">
        <f t="shared" si="2"/>
        <v>559.90650000000005</v>
      </c>
      <c r="O41" s="45">
        <f t="shared" si="3"/>
        <v>10.0238057</v>
      </c>
      <c r="P41" s="45">
        <v>10</v>
      </c>
    </row>
    <row r="42" spans="2:16" ht="19.5" customHeight="1">
      <c r="B42" s="125">
        <v>4330.42</v>
      </c>
      <c r="C42" s="112">
        <v>1.7448427</v>
      </c>
      <c r="D42" s="8"/>
      <c r="E42" s="8"/>
      <c r="F42" s="125">
        <v>5.75</v>
      </c>
      <c r="G42" s="8">
        <v>7.25</v>
      </c>
      <c r="H42" s="125">
        <f>IF(I42-INDEX($O$5:$O$117, MATCH(F42, $P$5:$P$117, 0))&gt;1,INDEX($O$5:$O$117, MATCH(F42, $P$5:$P$117, 0)),INDEX($O$5:$O$117, MATCH(F42-0.02, $P$5:$P$117, 0)))</f>
        <v>5.7560726999999998</v>
      </c>
      <c r="I42" s="45">
        <f>IF(INDEX($O$5:$O$117, MATCH(G42, $P$5:$P$117, 0))-INDEX($O$5:$O$117, MATCH(F42, $P$5:$P$117, 0))&gt;1,INDEX($O$5:$O$117, MATCH(G42, $P$5:$P$117, 0)),INDEX($O$5:$O$117, MATCH(G42+0.02, $P$5:$P$117, 0)))</f>
        <v>7.2589417000000003</v>
      </c>
      <c r="J42" s="8">
        <f>INDEX($N$5:$N$67, MATCH(H42, $O$5:$O$67, 0))</f>
        <v>15668.78</v>
      </c>
      <c r="K42" s="8">
        <f>INDEX($N$5:$N$67, MATCH(I42, $O$5:$O$67, 0))</f>
        <v>19866.009999999998</v>
      </c>
      <c r="L42" s="148">
        <f>MAX(0, IFERROR((K42-J42)/(I42-H42), 0))</f>
        <v>2792.8116156497981</v>
      </c>
      <c r="M42" s="8"/>
      <c r="N42" s="124">
        <f>INDEX($B$4:$B$1298,MATCH(O42,$C$4:$C$1309,0),1)</f>
        <v>2430.0140000000001</v>
      </c>
      <c r="O42" s="44">
        <f>LARGE($C$4:$C$1309,COUNTIF($C$4:$C$1309,"&gt;="&amp;P42))</f>
        <v>1.0275266999999999</v>
      </c>
      <c r="P42" s="44">
        <v>0.98</v>
      </c>
    </row>
    <row r="43" spans="2:16" ht="19.5" customHeight="1">
      <c r="B43" s="125">
        <v>4505.4799999999996</v>
      </c>
      <c r="C43" s="112">
        <v>1.7771296999999999</v>
      </c>
      <c r="D43" s="8"/>
      <c r="E43" s="8"/>
      <c r="F43" s="125">
        <v>1.25</v>
      </c>
      <c r="G43" s="8">
        <v>2.75</v>
      </c>
      <c r="H43" s="125">
        <f>IF(I43-INDEX($O$5:$O$117, MATCH(F43, $P$5:$P$117, 0))&gt;1,INDEX($O$5:$O$117, MATCH(F43, $P$5:$P$117, 0)),INDEX($O$5:$O$117, MATCH(F43-0.02, $P$5:$P$117, 0)))</f>
        <v>1.2573856999999999</v>
      </c>
      <c r="I43" s="45">
        <f>IF(INDEX($O$5:$O$117, MATCH(G43, $P$5:$P$117, 0))-INDEX($O$5:$O$117, MATCH(F43, $P$5:$P$117, 0))&gt;1,INDEX($O$5:$O$117, MATCH(G43, $P$5:$P$117, 0)),INDEX($O$5:$O$117, MATCH(G43+0.02, $P$5:$P$117, 0)))</f>
        <v>2.7814326999999999</v>
      </c>
      <c r="J43" s="8">
        <f>INDEX($N$5:$N$67, MATCH(H43, $O$5:$O$67, 0))</f>
        <v>3027.5729999999999</v>
      </c>
      <c r="K43" s="8">
        <f>INDEX($N$5:$N$67, MATCH(I43, $O$5:$O$67, 0))</f>
        <v>7273.2420000000002</v>
      </c>
      <c r="L43" s="148">
        <f>MAX(0, IFERROR((K43-J43)/(I43-H43), 0))</f>
        <v>2785.7861338921962</v>
      </c>
      <c r="M43" s="8"/>
      <c r="N43" s="125">
        <f t="shared" ref="N43:N49" si="4">INDEX($B$4:$B$1298,MATCH(O43,$C$4:$C$1309,0),1)</f>
        <v>2430.0140000000001</v>
      </c>
      <c r="O43" s="45">
        <f t="shared" ref="O43:O49" si="5">LARGE($C$4:$C$1309,COUNTIF($C$4:$C$1309,"&gt;="&amp;P43))</f>
        <v>1.0275266999999999</v>
      </c>
      <c r="P43" s="45">
        <v>1.02</v>
      </c>
    </row>
    <row r="44" spans="2:16" ht="19.5" customHeight="1">
      <c r="B44" s="125">
        <v>4593.01</v>
      </c>
      <c r="C44" s="112">
        <v>1.8414607000000001</v>
      </c>
      <c r="D44" s="8"/>
      <c r="E44" s="8"/>
      <c r="F44" s="149">
        <v>2.75</v>
      </c>
      <c r="G44" s="8">
        <v>4.25</v>
      </c>
      <c r="H44" s="125">
        <f>IF(I44-INDEX($O$5:$O$117, MATCH(F44, $P$5:$P$117, 0))&gt;1,INDEX($O$5:$O$117, MATCH(F44, $P$5:$P$117, 0)),INDEX($O$5:$O$117, MATCH(F44-0.02, $P$5:$P$117, 0)))</f>
        <v>2.7814326999999999</v>
      </c>
      <c r="I44" s="45">
        <f>IF(INDEX($O$5:$O$117, MATCH(G44, $P$5:$P$117, 0))-INDEX($O$5:$O$117, MATCH(F44, $P$5:$P$117, 0))&gt;1,INDEX($O$5:$O$117, MATCH(G44, $P$5:$P$117, 0)),INDEX($O$5:$O$117, MATCH(G44+0.02, $P$5:$P$117, 0)))</f>
        <v>4.3111576999999999</v>
      </c>
      <c r="J44" s="8">
        <f>INDEX($N$5:$N$67, MATCH(H44, $O$5:$O$67, 0))</f>
        <v>7273.2420000000002</v>
      </c>
      <c r="K44" s="8">
        <f>INDEX($N$5:$N$67, MATCH(I44, $O$5:$O$67, 0))</f>
        <v>11532.33</v>
      </c>
      <c r="L44" s="148">
        <f>MAX(0, IFERROR((K44-J44)/(I44-H44), 0))</f>
        <v>2784.2180784127863</v>
      </c>
      <c r="M44" s="8"/>
      <c r="N44" s="125">
        <f t="shared" si="4"/>
        <v>3027.5729999999999</v>
      </c>
      <c r="O44" s="45">
        <f t="shared" si="5"/>
        <v>1.2573856999999999</v>
      </c>
      <c r="P44" s="45">
        <v>1.23</v>
      </c>
    </row>
    <row r="45" spans="2:16" ht="19.5" customHeight="1">
      <c r="B45" s="125">
        <v>4682.223</v>
      </c>
      <c r="C45" s="112">
        <v>1.8749387</v>
      </c>
      <c r="D45" s="8"/>
      <c r="E45" s="8"/>
      <c r="F45" s="149">
        <v>1</v>
      </c>
      <c r="G45" s="8">
        <v>3</v>
      </c>
      <c r="H45" s="125">
        <f>IF(I45-INDEX($O$5:$O$117, MATCH(F45, $P$5:$P$117, 0))&gt;1,INDEX($O$5:$O$117, MATCH(F45, $P$5:$P$117, 0)),INDEX($O$5:$O$117, MATCH(F45-0.02, $P$5:$P$117, 0)))</f>
        <v>1.0275266999999999</v>
      </c>
      <c r="I45" s="45">
        <f>IF(INDEX($O$5:$O$117, MATCH(G45, $P$5:$P$117, 0))-INDEX($O$5:$O$117, MATCH(F45, $P$5:$P$117, 0))&gt;1,INDEX($O$5:$O$117, MATCH(G45, $P$5:$P$117, 0)),INDEX($O$5:$O$117, MATCH(G45+0.02, $P$5:$P$117, 0)))</f>
        <v>3.0076597</v>
      </c>
      <c r="J45" s="8">
        <f>INDEX($N$5:$N$67, MATCH(H45, $O$5:$O$67, 0))</f>
        <v>2430.0140000000001</v>
      </c>
      <c r="K45" s="8">
        <f>INDEX($N$5:$N$67, MATCH(I45, $O$5:$O$67, 0))</f>
        <v>7928.692</v>
      </c>
      <c r="L45" s="148">
        <f>MAX(0, IFERROR((K45-J45)/(I45-H45), 0))</f>
        <v>2776.9235702854303</v>
      </c>
      <c r="M45" s="8"/>
      <c r="N45" s="125">
        <f t="shared" si="4"/>
        <v>3115.1030000000001</v>
      </c>
      <c r="O45" s="45">
        <f t="shared" si="5"/>
        <v>1.2894287</v>
      </c>
      <c r="P45" s="45">
        <v>1.27</v>
      </c>
    </row>
    <row r="46" spans="2:16" ht="19.5" customHeight="1">
      <c r="B46" s="125">
        <v>4860.6490000000003</v>
      </c>
      <c r="C46" s="112">
        <v>1.9418637000000001</v>
      </c>
      <c r="D46" s="8"/>
      <c r="E46" s="8"/>
      <c r="F46" s="149">
        <v>1.5</v>
      </c>
      <c r="G46" s="8">
        <v>3.5</v>
      </c>
      <c r="H46" s="125">
        <f>IF(I46-INDEX($O$5:$O$117, MATCH(F46, $P$5:$P$117, 0))&gt;1,INDEX($O$5:$O$117, MATCH(F46, $P$5:$P$117, 0)),INDEX($O$5:$O$117, MATCH(F46-0.02, $P$5:$P$117, 0)))</f>
        <v>1.5181576999999999</v>
      </c>
      <c r="I46" s="45">
        <f>IF(INDEX($O$5:$O$117, MATCH(G46, $P$5:$P$117, 0))-INDEX($O$5:$O$117, MATCH(F46, $P$5:$P$117, 0))&gt;1,INDEX($O$5:$O$117, MATCH(G46, $P$5:$P$117, 0)),INDEX($O$5:$O$117, MATCH(G46+0.02, $P$5:$P$117, 0)))</f>
        <v>3.5284727</v>
      </c>
      <c r="J46" s="8">
        <f>INDEX($N$5:$N$67, MATCH(H46, $O$5:$O$67, 0))</f>
        <v>3719.395</v>
      </c>
      <c r="K46" s="8">
        <f>INDEX($N$5:$N$67, MATCH(I46, $O$5:$O$67, 0))</f>
        <v>9300.2489999999998</v>
      </c>
      <c r="L46" s="148">
        <f>MAX(0, IFERROR((K46-J46)/(I46-H46), 0))</f>
        <v>2776.1092167147926</v>
      </c>
      <c r="M46" s="8"/>
      <c r="N46" s="125">
        <f t="shared" si="4"/>
        <v>3633.549</v>
      </c>
      <c r="O46" s="45">
        <f t="shared" si="5"/>
        <v>1.4840087</v>
      </c>
      <c r="P46" s="45">
        <v>1.48</v>
      </c>
    </row>
    <row r="47" spans="2:16" ht="19.5" customHeight="1">
      <c r="B47" s="125">
        <v>4949.8620000000001</v>
      </c>
      <c r="C47" s="112">
        <v>1.9720766999999999</v>
      </c>
      <c r="D47" s="8"/>
      <c r="E47" s="8"/>
      <c r="F47" s="125">
        <v>3</v>
      </c>
      <c r="G47" s="8">
        <v>4.5</v>
      </c>
      <c r="H47" s="125">
        <f>IF(I47-INDEX($O$5:$O$117, MATCH(F47, $P$5:$P$117, 0))&gt;1,INDEX($O$5:$O$117, MATCH(F47, $P$5:$P$117, 0)),INDEX($O$5:$O$117, MATCH(F47-0.02, $P$5:$P$117, 0)))</f>
        <v>3.0076597</v>
      </c>
      <c r="I47" s="45">
        <f>IF(INDEX($O$5:$O$117, MATCH(G47, $P$5:$P$117, 0))-INDEX($O$5:$O$117, MATCH(F47, $P$5:$P$117, 0))&gt;1,INDEX($O$5:$O$117, MATCH(G47, $P$5:$P$117, 0)),INDEX($O$5:$O$117, MATCH(G47+0.02, $P$5:$P$117, 0)))</f>
        <v>4.5380856999999999</v>
      </c>
      <c r="J47" s="8">
        <f>INDEX($N$5:$N$67, MATCH(H47, $O$5:$O$67, 0))</f>
        <v>7928.692</v>
      </c>
      <c r="K47" s="8">
        <f>INDEX($N$5:$N$67, MATCH(I47, $O$5:$O$67, 0))</f>
        <v>12175.59</v>
      </c>
      <c r="L47" s="148">
        <f>MAX(0, IFERROR((K47-J47)/(I47-H47), 0))</f>
        <v>2774.9776859514936</v>
      </c>
      <c r="M47" s="8"/>
      <c r="N47" s="125">
        <f t="shared" si="4"/>
        <v>3892.7719999999999</v>
      </c>
      <c r="O47" s="45">
        <f t="shared" si="5"/>
        <v>1.5491337000000001</v>
      </c>
      <c r="P47" s="45">
        <v>1.52</v>
      </c>
    </row>
    <row r="48" spans="2:16" ht="19.5" customHeight="1">
      <c r="B48" s="125">
        <v>5128.2889999999998</v>
      </c>
      <c r="C48" s="112">
        <v>2.0050047000000002</v>
      </c>
      <c r="D48" s="8"/>
      <c r="E48" s="8"/>
      <c r="F48" s="125">
        <v>5.75</v>
      </c>
      <c r="G48" s="8">
        <v>6.75</v>
      </c>
      <c r="H48" s="125">
        <f>IF(I48-INDEX($O$5:$O$117, MATCH(F48, $P$5:$P$117, 0))&gt;1,INDEX($O$5:$O$117, MATCH(F48, $P$5:$P$117, 0)),INDEX($O$5:$O$117, MATCH(F48-0.02, $P$5:$P$117, 0)))</f>
        <v>5.7560726999999998</v>
      </c>
      <c r="I48" s="45">
        <f>IF(INDEX($O$5:$O$117, MATCH(G48, $P$5:$P$117, 0))-INDEX($O$5:$O$117, MATCH(F48, $P$5:$P$117, 0))&gt;1,INDEX($O$5:$O$117, MATCH(G48, $P$5:$P$117, 0)),INDEX($O$5:$O$117, MATCH(G48+0.02, $P$5:$P$117, 0)))</f>
        <v>6.7666627000000004</v>
      </c>
      <c r="J48" s="8">
        <f>INDEX($N$5:$N$67, MATCH(H48, $O$5:$O$67, 0))</f>
        <v>15668.78</v>
      </c>
      <c r="K48" s="8">
        <f>INDEX($N$5:$N$67, MATCH(I48, $O$5:$O$67, 0))</f>
        <v>18468.060000000001</v>
      </c>
      <c r="L48" s="148">
        <f>MAX(0, IFERROR((K48-J48)/(I48-H48), 0))</f>
        <v>2769.9462690111709</v>
      </c>
      <c r="M48" s="8"/>
      <c r="N48" s="125">
        <f t="shared" si="4"/>
        <v>4330.42</v>
      </c>
      <c r="O48" s="45">
        <f t="shared" si="5"/>
        <v>1.7448427</v>
      </c>
      <c r="P48" s="45">
        <v>1.73</v>
      </c>
    </row>
    <row r="49" spans="2:16" ht="19.5" customHeight="1">
      <c r="B49" s="125">
        <v>5204.1120000000001</v>
      </c>
      <c r="C49" s="112">
        <v>2.0644836999999998</v>
      </c>
      <c r="D49" s="8"/>
      <c r="E49" s="8"/>
      <c r="F49" s="149">
        <v>2</v>
      </c>
      <c r="G49" s="8">
        <v>4</v>
      </c>
      <c r="H49" s="125">
        <f>IF(I49-INDEX($O$5:$O$117, MATCH(F49, $P$5:$P$117, 0))&gt;1,INDEX($O$5:$O$117, MATCH(F49, $P$5:$P$117, 0)),INDEX($O$5:$O$117, MATCH(F49-0.02, $P$5:$P$117, 0)))</f>
        <v>2.0050047000000002</v>
      </c>
      <c r="I49" s="45">
        <f>IF(INDEX($O$5:$O$117, MATCH(G49, $P$5:$P$117, 0))-INDEX($O$5:$O$117, MATCH(F49, $P$5:$P$117, 0))&gt;1,INDEX($O$5:$O$117, MATCH(G49, $P$5:$P$117, 0)),INDEX($O$5:$O$117, MATCH(G49+0.02, $P$5:$P$117, 0)))</f>
        <v>4.0160216999999996</v>
      </c>
      <c r="J49" s="8">
        <f>INDEX($N$5:$N$67, MATCH(H49, $O$5:$O$67, 0))</f>
        <v>5128.2889999999998</v>
      </c>
      <c r="K49" s="8">
        <f>INDEX($N$5:$N$67, MATCH(I49, $O$5:$O$67, 0))</f>
        <v>10678.02</v>
      </c>
      <c r="L49" s="148">
        <f>MAX(0, IFERROR((K49-J49)/(I49-H49), 0))</f>
        <v>2759.6638914539271</v>
      </c>
      <c r="M49" s="8"/>
      <c r="N49" s="125">
        <f t="shared" si="4"/>
        <v>4505.4799999999996</v>
      </c>
      <c r="O49" s="45">
        <f t="shared" si="5"/>
        <v>1.7771296999999999</v>
      </c>
      <c r="P49" s="45">
        <v>1.77</v>
      </c>
    </row>
    <row r="50" spans="2:16" ht="19.5" customHeight="1">
      <c r="B50" s="125">
        <v>5382.7179999999998</v>
      </c>
      <c r="C50" s="112">
        <v>2.0966187000000001</v>
      </c>
      <c r="D50" s="8"/>
      <c r="E50" s="8"/>
      <c r="F50" s="125">
        <v>1.75</v>
      </c>
      <c r="G50" s="8">
        <v>2.75</v>
      </c>
      <c r="H50" s="125">
        <f>IF(I50-INDEX($O$5:$O$117, MATCH(F50, $P$5:$P$117, 0))&gt;1,INDEX($O$5:$O$117, MATCH(F50, $P$5:$P$117, 0)),INDEX($O$5:$O$117, MATCH(F50-0.02, $P$5:$P$117, 0)))</f>
        <v>1.7771296999999999</v>
      </c>
      <c r="I50" s="45">
        <f>IF(INDEX($O$5:$O$117, MATCH(G50, $P$5:$P$117, 0))-INDEX($O$5:$O$117, MATCH(F50, $P$5:$P$117, 0))&gt;1,INDEX($O$5:$O$117, MATCH(G50, $P$5:$P$117, 0)),INDEX($O$5:$O$117, MATCH(G50+0.02, $P$5:$P$117, 0)))</f>
        <v>2.7814326999999999</v>
      </c>
      <c r="J50" s="8">
        <f>INDEX($N$5:$N$67, MATCH(H50, $O$5:$O$67, 0))</f>
        <v>4505.4799999999996</v>
      </c>
      <c r="K50" s="8">
        <f>INDEX($N$5:$N$67, MATCH(I50, $O$5:$O$67, 0))</f>
        <v>7273.2420000000002</v>
      </c>
      <c r="L50" s="148">
        <f>MAX(0, IFERROR((K50-J50)/(I50-H50), 0))</f>
        <v>2755.9033478940128</v>
      </c>
      <c r="M50" s="8"/>
      <c r="N50" s="125">
        <f t="shared" ref="N50:N67" si="6">INDEX($B$4:$B$1298,MATCH(O50,$C$4:$C$1309,0),1)</f>
        <v>5128.2889999999998</v>
      </c>
      <c r="O50" s="45">
        <f t="shared" ref="O50:O67" si="7">LARGE($C$4:$C$1309,COUNTIF($C$4:$C$1309,"&gt;="&amp;P50))</f>
        <v>2.0050047000000002</v>
      </c>
      <c r="P50" s="45">
        <v>1.98</v>
      </c>
    </row>
    <row r="51" spans="2:16" ht="19.5" customHeight="1">
      <c r="B51" s="125">
        <v>5473.7060000000001</v>
      </c>
      <c r="C51" s="112">
        <v>2.1617736999999999</v>
      </c>
      <c r="D51" s="8"/>
      <c r="E51" s="8"/>
      <c r="F51" s="125">
        <v>1.25</v>
      </c>
      <c r="G51" s="8">
        <v>3.25</v>
      </c>
      <c r="H51" s="125">
        <f>IF(I51-INDEX($O$5:$O$117, MATCH(F51, $P$5:$P$117, 0))&gt;1,INDEX($O$5:$O$117, MATCH(F51, $P$5:$P$117, 0)),INDEX($O$5:$O$117, MATCH(F51-0.02, $P$5:$P$117, 0)))</f>
        <v>1.2573856999999999</v>
      </c>
      <c r="I51" s="45">
        <f>IF(INDEX($O$5:$O$117, MATCH(G51, $P$5:$P$117, 0))-INDEX($O$5:$O$117, MATCH(F51, $P$5:$P$117, 0))&gt;1,INDEX($O$5:$O$117, MATCH(G51, $P$5:$P$117, 0)),INDEX($O$5:$O$117, MATCH(G51+0.02, $P$5:$P$117, 0)))</f>
        <v>3.3009946999999999</v>
      </c>
      <c r="J51" s="8">
        <f>INDEX($N$5:$N$67, MATCH(H51, $O$5:$O$67, 0))</f>
        <v>3027.5729999999999</v>
      </c>
      <c r="K51" s="8">
        <f>INDEX($N$5:$N$67, MATCH(I51, $O$5:$O$67, 0))</f>
        <v>8653.2250000000004</v>
      </c>
      <c r="L51" s="148">
        <f>MAX(0, IFERROR((K51-J51)/(I51-H51), 0))</f>
        <v>2752.8025175070184</v>
      </c>
      <c r="M51" s="8"/>
      <c r="N51" s="125">
        <f t="shared" si="6"/>
        <v>5204.1120000000001</v>
      </c>
      <c r="O51" s="45">
        <f t="shared" si="7"/>
        <v>2.0644836999999998</v>
      </c>
      <c r="P51" s="45">
        <v>2.02</v>
      </c>
    </row>
    <row r="52" spans="2:16" ht="19.5" customHeight="1">
      <c r="B52" s="125">
        <v>5563.0079999999998</v>
      </c>
      <c r="C52" s="112">
        <v>2.1943666999999998</v>
      </c>
      <c r="D52" s="8"/>
      <c r="E52" s="8"/>
      <c r="F52" s="125">
        <v>1.75</v>
      </c>
      <c r="G52" s="8">
        <v>3.75</v>
      </c>
      <c r="H52" s="125">
        <f>IF(I52-INDEX($O$5:$O$117, MATCH(F52, $P$5:$P$117, 0))&gt;1,INDEX($O$5:$O$117, MATCH(F52, $P$5:$P$117, 0)),INDEX($O$5:$O$117, MATCH(F52-0.02, $P$5:$P$117, 0)))</f>
        <v>1.7771296999999999</v>
      </c>
      <c r="I52" s="45">
        <f>IF(INDEX($O$5:$O$117, MATCH(G52, $P$5:$P$117, 0))-INDEX($O$5:$O$117, MATCH(F52, $P$5:$P$117, 0))&gt;1,INDEX($O$5:$O$117, MATCH(G52, $P$5:$P$117, 0)),INDEX($O$5:$O$117, MATCH(G52+0.02, $P$5:$P$117, 0)))</f>
        <v>3.7567447</v>
      </c>
      <c r="J52" s="8">
        <f>INDEX($N$5:$N$67, MATCH(H52, $O$5:$O$67, 0))</f>
        <v>4505.4799999999996</v>
      </c>
      <c r="K52" s="8">
        <f>INDEX($N$5:$N$67, MATCH(I52, $O$5:$O$67, 0))</f>
        <v>9935.4789999999994</v>
      </c>
      <c r="L52" s="148">
        <f>MAX(0, IFERROR((K52-J52)/(I52-H52), 0))</f>
        <v>2742.9570901412644</v>
      </c>
      <c r="M52" s="8"/>
      <c r="N52" s="125">
        <f t="shared" si="6"/>
        <v>5728.1350000000002</v>
      </c>
      <c r="O52" s="45">
        <f t="shared" si="7"/>
        <v>2.2589106999999999</v>
      </c>
      <c r="P52" s="45">
        <v>2.23</v>
      </c>
    </row>
    <row r="53" spans="2:16" ht="19.5" customHeight="1">
      <c r="B53" s="125">
        <v>5728.1350000000002</v>
      </c>
      <c r="C53" s="112">
        <v>2.2589106999999999</v>
      </c>
      <c r="D53" s="8"/>
      <c r="E53" s="8"/>
      <c r="F53" s="149">
        <v>2</v>
      </c>
      <c r="G53" s="8">
        <v>3.5</v>
      </c>
      <c r="H53" s="125">
        <f>IF(I53-INDEX($O$5:$O$117, MATCH(F53, $P$5:$P$117, 0))&gt;1,INDEX($O$5:$O$117, MATCH(F53, $P$5:$P$117, 0)),INDEX($O$5:$O$117, MATCH(F53-0.02, $P$5:$P$117, 0)))</f>
        <v>2.0050047000000002</v>
      </c>
      <c r="I53" s="45">
        <f>IF(INDEX($O$5:$O$117, MATCH(G53, $P$5:$P$117, 0))-INDEX($O$5:$O$117, MATCH(F53, $P$5:$P$117, 0))&gt;1,INDEX($O$5:$O$117, MATCH(G53, $P$5:$P$117, 0)),INDEX($O$5:$O$117, MATCH(G53+0.02, $P$5:$P$117, 0)))</f>
        <v>3.5284727</v>
      </c>
      <c r="J53" s="8">
        <f>INDEX($N$5:$N$67, MATCH(H53, $O$5:$O$67, 0))</f>
        <v>5128.2889999999998</v>
      </c>
      <c r="K53" s="8">
        <f>INDEX($N$5:$N$67, MATCH(I53, $O$5:$O$67, 0))</f>
        <v>9300.2489999999998</v>
      </c>
      <c r="L53" s="148">
        <f>MAX(0, IFERROR((K53-J53)/(I53-H53), 0))</f>
        <v>2738.4625079095854</v>
      </c>
      <c r="M53" s="8"/>
      <c r="N53" s="125">
        <f t="shared" si="6"/>
        <v>5819.1220000000003</v>
      </c>
      <c r="O53" s="45">
        <f t="shared" si="7"/>
        <v>2.2920536999999999</v>
      </c>
      <c r="P53" s="45">
        <v>2.27</v>
      </c>
    </row>
    <row r="54" spans="2:16" ht="19.5" customHeight="1">
      <c r="B54" s="125">
        <v>5819.1220000000003</v>
      </c>
      <c r="C54" s="112">
        <v>2.2920536999999999</v>
      </c>
      <c r="D54" s="8"/>
      <c r="E54" s="8"/>
      <c r="F54" s="125">
        <v>2.75</v>
      </c>
      <c r="G54" s="8">
        <v>3.75</v>
      </c>
      <c r="H54" s="125">
        <f>IF(I54-INDEX($O$5:$O$117, MATCH(F54, $P$5:$P$117, 0))&gt;1,INDEX($O$5:$O$117, MATCH(F54, $P$5:$P$117, 0)),INDEX($O$5:$O$117, MATCH(F54-0.02, $P$5:$P$117, 0)))</f>
        <v>2.7814326999999999</v>
      </c>
      <c r="I54" s="45">
        <f>IF(INDEX($O$5:$O$117, MATCH(G54, $P$5:$P$117, 0))-INDEX($O$5:$O$117, MATCH(F54, $P$5:$P$117, 0))&gt;1,INDEX($O$5:$O$117, MATCH(G54, $P$5:$P$117, 0)),INDEX($O$5:$O$117, MATCH(G54+0.02, $P$5:$P$117, 0)))</f>
        <v>3.7893677000000001</v>
      </c>
      <c r="J54" s="8">
        <f>INDEX($N$5:$N$67, MATCH(H54, $O$5:$O$67, 0))</f>
        <v>7273.2420000000002</v>
      </c>
      <c r="K54" s="8">
        <f>INDEX($N$5:$N$67, MATCH(I54, $O$5:$O$67, 0))</f>
        <v>10028.15</v>
      </c>
      <c r="L54" s="148">
        <f>MAX(0, IFERROR((K54-J54)/(I54-H54), 0))</f>
        <v>2733.2199000927626</v>
      </c>
      <c r="M54" s="8"/>
      <c r="N54" s="125">
        <f t="shared" si="6"/>
        <v>6361.68</v>
      </c>
      <c r="O54" s="45">
        <f t="shared" si="7"/>
        <v>2.4861447000000001</v>
      </c>
      <c r="P54" s="45">
        <v>2.48</v>
      </c>
    </row>
    <row r="55" spans="2:16" ht="19.5" customHeight="1">
      <c r="B55" s="125">
        <v>5999.4129999999996</v>
      </c>
      <c r="C55" s="112">
        <v>2.3246156999999998</v>
      </c>
      <c r="D55" s="8"/>
      <c r="E55" s="8"/>
      <c r="F55" s="149">
        <v>1.5</v>
      </c>
      <c r="G55" s="8">
        <v>2.5</v>
      </c>
      <c r="H55" s="125">
        <f>IF(I55-INDEX($O$5:$O$117, MATCH(F55, $P$5:$P$117, 0))&gt;1,INDEX($O$5:$O$117, MATCH(F55, $P$5:$P$117, 0)),INDEX($O$5:$O$117, MATCH(F55-0.02, $P$5:$P$117, 0)))</f>
        <v>1.5181576999999999</v>
      </c>
      <c r="I55" s="45">
        <f>IF(INDEX($O$5:$O$117, MATCH(G55, $P$5:$P$117, 0))-INDEX($O$5:$O$117, MATCH(F55, $P$5:$P$117, 0))&gt;1,INDEX($O$5:$O$117, MATCH(G55, $P$5:$P$117, 0)),INDEX($O$5:$O$117, MATCH(G55+0.02, $P$5:$P$117, 0)))</f>
        <v>2.5204466999999999</v>
      </c>
      <c r="J55" s="8">
        <f>INDEX($N$5:$N$67, MATCH(H55, $O$5:$O$67, 0))</f>
        <v>3719.395</v>
      </c>
      <c r="K55" s="8">
        <f>INDEX($N$5:$N$67, MATCH(I55, $O$5:$O$67, 0))</f>
        <v>6452.6670000000004</v>
      </c>
      <c r="L55" s="148">
        <f>MAX(0, IFERROR((K55-J55)/(I55-H55), 0))</f>
        <v>2727.0298287220558</v>
      </c>
      <c r="M55" s="8"/>
      <c r="N55" s="125">
        <f t="shared" si="6"/>
        <v>6452.6670000000004</v>
      </c>
      <c r="O55" s="45">
        <f t="shared" si="7"/>
        <v>2.5204466999999999</v>
      </c>
      <c r="P55" s="45">
        <v>2.52</v>
      </c>
    </row>
    <row r="56" spans="2:16" ht="19.5" customHeight="1">
      <c r="B56" s="125">
        <v>6090.4009999999998</v>
      </c>
      <c r="C56" s="112">
        <v>2.3897396999999998</v>
      </c>
      <c r="D56" s="8"/>
      <c r="E56" s="8"/>
      <c r="F56" s="149">
        <v>3</v>
      </c>
      <c r="G56" s="8">
        <v>4</v>
      </c>
      <c r="H56" s="125">
        <f>IF(I56-INDEX($O$5:$O$117, MATCH(F56, $P$5:$P$117, 0))&gt;1,INDEX($O$5:$O$117, MATCH(F56, $P$5:$P$117, 0)),INDEX($O$5:$O$117, MATCH(F56-0.02, $P$5:$P$117, 0)))</f>
        <v>3.0076597</v>
      </c>
      <c r="I56" s="45">
        <f>IF(INDEX($O$5:$O$117, MATCH(G56, $P$5:$P$117, 0))-INDEX($O$5:$O$117, MATCH(F56, $P$5:$P$117, 0))&gt;1,INDEX($O$5:$O$117, MATCH(G56, $P$5:$P$117, 0)),INDEX($O$5:$O$117, MATCH(G56+0.02, $P$5:$P$117, 0)))</f>
        <v>4.0160216999999996</v>
      </c>
      <c r="J56" s="8">
        <f>INDEX($N$5:$N$67, MATCH(H56, $O$5:$O$67, 0))</f>
        <v>7928.692</v>
      </c>
      <c r="K56" s="8">
        <f>INDEX($N$5:$N$67, MATCH(I56, $O$5:$O$67, 0))</f>
        <v>10678.02</v>
      </c>
      <c r="L56" s="148">
        <f>MAX(0, IFERROR((K56-J56)/(I56-H56), 0))</f>
        <v>2726.528766454906</v>
      </c>
      <c r="M56" s="8"/>
      <c r="N56" s="125">
        <f t="shared" si="6"/>
        <v>7091.2669999999998</v>
      </c>
      <c r="O56" s="45">
        <f t="shared" si="7"/>
        <v>2.7465817000000001</v>
      </c>
      <c r="P56" s="45">
        <v>2.73</v>
      </c>
    </row>
    <row r="57" spans="2:16" ht="19.5" customHeight="1">
      <c r="B57" s="125">
        <v>6179.7039999999997</v>
      </c>
      <c r="C57" s="112">
        <v>2.4224857000000002</v>
      </c>
      <c r="D57" s="8"/>
      <c r="E57" s="8"/>
      <c r="F57" s="125">
        <v>5.5</v>
      </c>
      <c r="G57" s="8">
        <v>7.5</v>
      </c>
      <c r="H57" s="125">
        <f>IF(I57-INDEX($O$5:$O$117, MATCH(F57, $P$5:$P$117, 0))&gt;1,INDEX($O$5:$O$117, MATCH(F57, $P$5:$P$117, 0)),INDEX($O$5:$O$117, MATCH(F57-0.02, $P$5:$P$117, 0)))</f>
        <v>5.5278926999999998</v>
      </c>
      <c r="I57" s="45">
        <f>IF(INDEX($O$5:$O$117, MATCH(G57, $P$5:$P$117, 0))-INDEX($O$5:$O$117, MATCH(F57, $P$5:$P$117, 0))&gt;1,INDEX($O$5:$O$117, MATCH(G57, $P$5:$P$117, 0)),INDEX($O$5:$O$117, MATCH(G57+0.02, $P$5:$P$117, 0)))</f>
        <v>7.5537106999999999</v>
      </c>
      <c r="J57" s="8">
        <f>INDEX($N$5:$N$67, MATCH(H57, $O$5:$O$67, 0))</f>
        <v>15006.95</v>
      </c>
      <c r="K57" s="8">
        <f>INDEX($N$5:$N$67, MATCH(I57, $O$5:$O$67, 0))</f>
        <v>20523.150000000001</v>
      </c>
      <c r="L57" s="148">
        <f>MAX(0, IFERROR((K57-J57)/(I57-H57), 0))</f>
        <v>2722.9494456066636</v>
      </c>
      <c r="M57" s="8"/>
      <c r="N57" s="125">
        <f t="shared" si="6"/>
        <v>7273.2420000000002</v>
      </c>
      <c r="O57" s="45">
        <f t="shared" si="7"/>
        <v>2.7814326999999999</v>
      </c>
      <c r="P57" s="45">
        <v>2.77</v>
      </c>
    </row>
    <row r="58" spans="2:16" ht="19.5" customHeight="1">
      <c r="B58" s="125">
        <v>6361.68</v>
      </c>
      <c r="C58" s="112">
        <v>2.4861447000000001</v>
      </c>
      <c r="D58" s="8"/>
      <c r="E58" s="8"/>
      <c r="F58" s="125">
        <v>1.75</v>
      </c>
      <c r="G58" s="8">
        <v>3.25</v>
      </c>
      <c r="H58" s="125">
        <f>IF(I58-INDEX($O$5:$O$117, MATCH(F58, $P$5:$P$117, 0))&gt;1,INDEX($O$5:$O$117, MATCH(F58, $P$5:$P$117, 0)),INDEX($O$5:$O$117, MATCH(F58-0.02, $P$5:$P$117, 0)))</f>
        <v>1.7771296999999999</v>
      </c>
      <c r="I58" s="45">
        <f>IF(INDEX($O$5:$O$117, MATCH(G58, $P$5:$P$117, 0))-INDEX($O$5:$O$117, MATCH(F58, $P$5:$P$117, 0))&gt;1,INDEX($O$5:$O$117, MATCH(G58, $P$5:$P$117, 0)),INDEX($O$5:$O$117, MATCH(G58+0.02, $P$5:$P$117, 0)))</f>
        <v>3.3009946999999999</v>
      </c>
      <c r="J58" s="8">
        <f>INDEX($N$5:$N$67, MATCH(H58, $O$5:$O$67, 0))</f>
        <v>4505.4799999999996</v>
      </c>
      <c r="K58" s="8">
        <f>INDEX($N$5:$N$67, MATCH(I58, $O$5:$O$67, 0))</f>
        <v>8653.2250000000004</v>
      </c>
      <c r="L58" s="148">
        <f>MAX(0, IFERROR((K58-J58)/(I58-H58), 0))</f>
        <v>2721.8585635866698</v>
      </c>
      <c r="M58" s="8"/>
      <c r="N58" s="125">
        <f t="shared" si="6"/>
        <v>7928.692</v>
      </c>
      <c r="O58" s="45">
        <f t="shared" si="7"/>
        <v>3.0076597</v>
      </c>
      <c r="P58" s="45">
        <v>2.98</v>
      </c>
    </row>
    <row r="59" spans="2:16" ht="19.5" customHeight="1">
      <c r="B59" s="125">
        <v>6452.6670000000004</v>
      </c>
      <c r="C59" s="112">
        <v>2.5204466999999999</v>
      </c>
      <c r="D59" s="8"/>
      <c r="E59" s="8"/>
      <c r="F59" s="125">
        <v>1.25</v>
      </c>
      <c r="G59" s="8">
        <v>2.25</v>
      </c>
      <c r="H59" s="125">
        <f>IF(I59-INDEX($O$5:$O$117, MATCH(F59, $P$5:$P$117, 0))&gt;1,INDEX($O$5:$O$117, MATCH(F59, $P$5:$P$117, 0)),INDEX($O$5:$O$117, MATCH(F59-0.02, $P$5:$P$117, 0)))</f>
        <v>1.2573856999999999</v>
      </c>
      <c r="I59" s="45">
        <f>IF(INDEX($O$5:$O$117, MATCH(G59, $P$5:$P$117, 0))-INDEX($O$5:$O$117, MATCH(F59, $P$5:$P$117, 0))&gt;1,INDEX($O$5:$O$117, MATCH(G59, $P$5:$P$117, 0)),INDEX($O$5:$O$117, MATCH(G59+0.02, $P$5:$P$117, 0)))</f>
        <v>2.2589106999999999</v>
      </c>
      <c r="J59" s="8">
        <f>INDEX($N$5:$N$67, MATCH(H59, $O$5:$O$67, 0))</f>
        <v>3027.5729999999999</v>
      </c>
      <c r="K59" s="8">
        <f>INDEX($N$5:$N$67, MATCH(I59, $O$5:$O$67, 0))</f>
        <v>5728.1350000000002</v>
      </c>
      <c r="L59" s="148">
        <f>MAX(0, IFERROR((K59-J59)/(I59-H59), 0))</f>
        <v>2696.4499138813312</v>
      </c>
      <c r="M59" s="8"/>
      <c r="N59" s="125">
        <f t="shared" si="6"/>
        <v>8007.8850000000002</v>
      </c>
      <c r="O59" s="45">
        <f t="shared" si="7"/>
        <v>3.0730586999999998</v>
      </c>
      <c r="P59" s="45">
        <v>3.02</v>
      </c>
    </row>
    <row r="60" spans="2:16" ht="19.5" customHeight="1">
      <c r="B60" s="125">
        <v>6636.3280000000004</v>
      </c>
      <c r="C60" s="112">
        <v>2.5513607</v>
      </c>
      <c r="D60" s="8"/>
      <c r="E60" s="8"/>
      <c r="F60" s="149">
        <v>1</v>
      </c>
      <c r="G60" s="8">
        <v>2.5</v>
      </c>
      <c r="H60" s="125">
        <f>IF(I60-INDEX($O$5:$O$117, MATCH(F60, $P$5:$P$117, 0))&gt;1,INDEX($O$5:$O$117, MATCH(F60, $P$5:$P$117, 0)),INDEX($O$5:$O$117, MATCH(F60-0.02, $P$5:$P$117, 0)))</f>
        <v>1.0275266999999999</v>
      </c>
      <c r="I60" s="45">
        <f>IF(INDEX($O$5:$O$117, MATCH(G60, $P$5:$P$117, 0))-INDEX($O$5:$O$117, MATCH(F60, $P$5:$P$117, 0))&gt;1,INDEX($O$5:$O$117, MATCH(G60, $P$5:$P$117, 0)),INDEX($O$5:$O$117, MATCH(G60+0.02, $P$5:$P$117, 0)))</f>
        <v>2.5204466999999999</v>
      </c>
      <c r="J60" s="8">
        <f>INDEX($N$5:$N$67, MATCH(H60, $O$5:$O$67, 0))</f>
        <v>2430.0140000000001</v>
      </c>
      <c r="K60" s="8">
        <f>INDEX($N$5:$N$67, MATCH(I60, $O$5:$O$67, 0))</f>
        <v>6452.6670000000004</v>
      </c>
      <c r="L60" s="148">
        <f>MAX(0, IFERROR((K60-J60)/(I60-H60), 0))</f>
        <v>2694.4866436245748</v>
      </c>
      <c r="M60" s="8"/>
      <c r="N60" s="125">
        <f t="shared" si="6"/>
        <v>8558.8670000000002</v>
      </c>
      <c r="O60" s="45">
        <f t="shared" si="7"/>
        <v>3.2365116999999999</v>
      </c>
      <c r="P60" s="45">
        <v>3.23</v>
      </c>
    </row>
    <row r="61" spans="2:16" ht="19.5" customHeight="1">
      <c r="B61" s="125">
        <v>6739.11</v>
      </c>
      <c r="C61" s="112">
        <v>2.6185917000000001</v>
      </c>
      <c r="D61" s="8"/>
      <c r="E61" s="8"/>
      <c r="F61" s="149">
        <v>6</v>
      </c>
      <c r="G61" s="8">
        <v>7.5</v>
      </c>
      <c r="H61" s="125">
        <f>IF(I61-INDEX($O$5:$O$117, MATCH(F61, $P$5:$P$117, 0))&gt;1,INDEX($O$5:$O$117, MATCH(F61, $P$5:$P$117, 0)),INDEX($O$5:$O$117, MATCH(F61-0.02, $P$5:$P$117, 0)))</f>
        <v>6.0482487000000003</v>
      </c>
      <c r="I61" s="45">
        <f>IF(INDEX($O$5:$O$117, MATCH(G61, $P$5:$P$117, 0))-INDEX($O$5:$O$117, MATCH(F61, $P$5:$P$117, 0))&gt;1,INDEX($O$5:$O$117, MATCH(G61, $P$5:$P$117, 0)),INDEX($O$5:$O$117, MATCH(G61+0.02, $P$5:$P$117, 0)))</f>
        <v>7.5537106999999999</v>
      </c>
      <c r="J61" s="8">
        <f>INDEX($N$5:$N$67, MATCH(H61, $O$5:$O$67, 0))</f>
        <v>16484.25</v>
      </c>
      <c r="K61" s="8">
        <f>INDEX($N$5:$N$67, MATCH(I61, $O$5:$O$67, 0))</f>
        <v>20523.150000000001</v>
      </c>
      <c r="L61" s="148">
        <f>MAX(0, IFERROR((K61-J61)/(I61-H61), 0))</f>
        <v>2682.8309183493188</v>
      </c>
      <c r="M61" s="8"/>
      <c r="N61" s="125">
        <f t="shared" si="6"/>
        <v>8653.2250000000004</v>
      </c>
      <c r="O61" s="45">
        <f t="shared" si="7"/>
        <v>3.3009946999999999</v>
      </c>
      <c r="P61" s="45">
        <v>3.27</v>
      </c>
    </row>
    <row r="62" spans="2:16" ht="19.5" customHeight="1">
      <c r="B62" s="125">
        <v>6816.6180000000004</v>
      </c>
      <c r="C62" s="112">
        <v>2.6495356999999999</v>
      </c>
      <c r="D62" s="8"/>
      <c r="E62" s="8"/>
      <c r="F62" s="149">
        <v>1</v>
      </c>
      <c r="G62" s="8">
        <v>2</v>
      </c>
      <c r="H62" s="125">
        <f>IF(I62-INDEX($O$5:$O$117, MATCH(F62, $P$5:$P$117, 0))&gt;1,INDEX($O$5:$O$117, MATCH(F62, $P$5:$P$117, 0)),INDEX($O$5:$O$117, MATCH(F62-0.02, $P$5:$P$117, 0)))</f>
        <v>1.0275266999999999</v>
      </c>
      <c r="I62" s="45">
        <f>IF(INDEX($O$5:$O$117, MATCH(G62, $P$5:$P$117, 0))-INDEX($O$5:$O$117, MATCH(F62, $P$5:$P$117, 0))&gt;1,INDEX($O$5:$O$117, MATCH(G62, $P$5:$P$117, 0)),INDEX($O$5:$O$117, MATCH(G62+0.02, $P$5:$P$117, 0)))</f>
        <v>2.0644836999999998</v>
      </c>
      <c r="J62" s="8">
        <f>INDEX($N$5:$N$67, MATCH(H62, $O$5:$O$67, 0))</f>
        <v>2430.0140000000001</v>
      </c>
      <c r="K62" s="8">
        <f>INDEX($N$5:$N$67, MATCH(I62, $O$5:$O$67, 0))</f>
        <v>5204.1120000000001</v>
      </c>
      <c r="L62" s="148">
        <f>MAX(0, IFERROR((K62-J62)/(I62-H62), 0))</f>
        <v>2675.2295418228532</v>
      </c>
      <c r="M62" s="8"/>
      <c r="N62" s="125">
        <f t="shared" si="6"/>
        <v>9300.2489999999998</v>
      </c>
      <c r="O62" s="45">
        <f t="shared" si="7"/>
        <v>3.5284727</v>
      </c>
      <c r="P62" s="45">
        <v>3.48</v>
      </c>
    </row>
    <row r="63" spans="2:16" ht="19.5" customHeight="1">
      <c r="B63" s="125">
        <v>6998.5940000000001</v>
      </c>
      <c r="C63" s="112">
        <v>2.7148747000000002</v>
      </c>
      <c r="D63" s="8"/>
      <c r="E63" s="8"/>
      <c r="F63" s="149">
        <v>5.75</v>
      </c>
      <c r="G63" s="8">
        <v>7.75</v>
      </c>
      <c r="H63" s="125">
        <f>IF(I63-INDEX($O$5:$O$117, MATCH(F63, $P$5:$P$117, 0))&gt;1,INDEX($O$5:$O$117, MATCH(F63, $P$5:$P$117, 0)),INDEX($O$5:$O$117, MATCH(F63-0.02, $P$5:$P$117, 0)))</f>
        <v>5.7560726999999998</v>
      </c>
      <c r="I63" s="45">
        <f>IF(INDEX($O$5:$O$117, MATCH(G63, $P$5:$P$117, 0))-INDEX($O$5:$O$117, MATCH(F63, $P$5:$P$117, 0))&gt;1,INDEX($O$5:$O$117, MATCH(G63, $P$5:$P$117, 0)),INDEX($O$5:$O$117, MATCH(G63+0.02, $P$5:$P$117, 0)))</f>
        <v>7.7821046999999997</v>
      </c>
      <c r="J63" s="8">
        <f>INDEX($N$5:$N$67, MATCH(H63, $O$5:$O$67, 0))</f>
        <v>15668.78</v>
      </c>
      <c r="K63" s="8">
        <f>INDEX($N$5:$N$67, MATCH(I63, $O$5:$O$67, 0))</f>
        <v>21082.44</v>
      </c>
      <c r="L63" s="148">
        <f>MAX(0, IFERROR((K63-J63)/(I63-H63), 0))</f>
        <v>2672.0505895267192</v>
      </c>
      <c r="M63" s="8"/>
      <c r="N63" s="125">
        <f t="shared" si="6"/>
        <v>9300.2489999999998</v>
      </c>
      <c r="O63" s="45">
        <f t="shared" si="7"/>
        <v>3.5284727</v>
      </c>
      <c r="P63" s="45">
        <v>3.52</v>
      </c>
    </row>
    <row r="64" spans="2:16" ht="19.5" customHeight="1">
      <c r="B64" s="125">
        <v>7091.2669999999998</v>
      </c>
      <c r="C64" s="112">
        <v>2.7465817000000001</v>
      </c>
      <c r="D64" s="8"/>
      <c r="E64" s="8"/>
      <c r="F64" s="149">
        <v>6.5</v>
      </c>
      <c r="G64" s="8">
        <v>7.5</v>
      </c>
      <c r="H64" s="125">
        <f>IF(I64-INDEX($O$5:$O$117, MATCH(F64, $P$5:$P$117, 0))&gt;1,INDEX($O$5:$O$117, MATCH(F64, $P$5:$P$117, 0)),INDEX($O$5:$O$117, MATCH(F64-0.02, $P$5:$P$117, 0)))</f>
        <v>6.5043636999999999</v>
      </c>
      <c r="I64" s="45">
        <f>IF(INDEX($O$5:$O$117, MATCH(G64, $P$5:$P$117, 0))-INDEX($O$5:$O$117, MATCH(F64, $P$5:$P$117, 0))&gt;1,INDEX($O$5:$O$117, MATCH(G64, $P$5:$P$117, 0)),INDEX($O$5:$O$117, MATCH(G64+0.02, $P$5:$P$117, 0)))</f>
        <v>7.5537106999999999</v>
      </c>
      <c r="J64" s="8">
        <f>INDEX($N$5:$N$67, MATCH(H64, $O$5:$O$67, 0))</f>
        <v>17757.27</v>
      </c>
      <c r="K64" s="8">
        <f>INDEX($N$5:$N$67, MATCH(I64, $O$5:$O$67, 0))</f>
        <v>20523.150000000001</v>
      </c>
      <c r="L64" s="148">
        <f>MAX(0, IFERROR((K64-J64)/(I64-H64), 0))</f>
        <v>2635.8106517672427</v>
      </c>
      <c r="M64" s="8"/>
      <c r="N64" s="125">
        <f t="shared" si="6"/>
        <v>9935.4789999999994</v>
      </c>
      <c r="O64" s="45">
        <f t="shared" si="7"/>
        <v>3.7567447</v>
      </c>
      <c r="P64" s="45">
        <v>3.73</v>
      </c>
    </row>
    <row r="65" spans="2:16" ht="19.5" customHeight="1">
      <c r="B65" s="125">
        <v>7273.2420000000002</v>
      </c>
      <c r="C65" s="112">
        <v>2.7814326999999999</v>
      </c>
      <c r="D65" s="8"/>
      <c r="E65" s="8"/>
      <c r="F65" s="149">
        <v>6.25</v>
      </c>
      <c r="G65" s="8">
        <v>7.75</v>
      </c>
      <c r="H65" s="125">
        <f>IF(I65-INDEX($O$5:$O$117, MATCH(F65, $P$5:$P$117, 0))&gt;1,INDEX($O$5:$O$117, MATCH(F65, $P$5:$P$117, 0)),INDEX($O$5:$O$117, MATCH(F65-0.02, $P$5:$P$117, 0)))</f>
        <v>6.2759397000000003</v>
      </c>
      <c r="I65" s="45">
        <f>IF(INDEX($O$5:$O$117, MATCH(G65, $P$5:$P$117, 0))-INDEX($O$5:$O$117, MATCH(F65, $P$5:$P$117, 0))&gt;1,INDEX($O$5:$O$117, MATCH(G65, $P$5:$P$117, 0)),INDEX($O$5:$O$117, MATCH(G65+0.02, $P$5:$P$117, 0)))</f>
        <v>7.7821046999999997</v>
      </c>
      <c r="J65" s="8">
        <f>INDEX($N$5:$N$67, MATCH(H65, $O$5:$O$67, 0))</f>
        <v>17124.14</v>
      </c>
      <c r="K65" s="8">
        <f>INDEX($N$5:$N$67, MATCH(I65, $O$5:$O$67, 0))</f>
        <v>21082.44</v>
      </c>
      <c r="L65" s="148">
        <f>MAX(0, IFERROR((K65-J65)/(I65-H65), 0))</f>
        <v>2628.065318208829</v>
      </c>
      <c r="M65" s="8"/>
      <c r="N65" s="125">
        <f t="shared" si="6"/>
        <v>10028.15</v>
      </c>
      <c r="O65" s="45">
        <f t="shared" si="7"/>
        <v>3.7893677000000001</v>
      </c>
      <c r="P65" s="45">
        <v>3.77</v>
      </c>
    </row>
    <row r="66" spans="2:16" ht="19.5" customHeight="1">
      <c r="B66" s="125">
        <v>7365.9160000000002</v>
      </c>
      <c r="C66" s="112">
        <v>2.8441467</v>
      </c>
      <c r="D66" s="8"/>
      <c r="E66" s="150"/>
      <c r="F66" s="125">
        <v>6.75</v>
      </c>
      <c r="G66" s="8">
        <v>7.75</v>
      </c>
      <c r="H66" s="125">
        <f>IF(I66-INDEX($O$5:$O$117, MATCH(F66, $P$5:$P$117, 0))&gt;1,INDEX($O$5:$O$117, MATCH(F66, $P$5:$P$117, 0)),INDEX($O$5:$O$117, MATCH(F66-0.02, $P$5:$P$117, 0)))</f>
        <v>6.7666627000000004</v>
      </c>
      <c r="I66" s="45">
        <f>IF(INDEX($O$5:$O$117, MATCH(G66, $P$5:$P$117, 0))-INDEX($O$5:$O$117, MATCH(F66, $P$5:$P$117, 0))&gt;1,INDEX($O$5:$O$117, MATCH(G66, $P$5:$P$117, 0)),INDEX($O$5:$O$117, MATCH(G66+0.02, $P$5:$P$117, 0)))</f>
        <v>7.7821046999999997</v>
      </c>
      <c r="J66" s="8">
        <f>INDEX($N$5:$N$67, MATCH(H66, $O$5:$O$67, 0))</f>
        <v>18468.060000000001</v>
      </c>
      <c r="K66" s="8">
        <f>INDEX($N$5:$N$67, MATCH(I66, $O$5:$O$67, 0))</f>
        <v>21082.44</v>
      </c>
      <c r="L66" s="148">
        <f>MAX(0, IFERROR((K66-J66)/(I66-H66), 0))</f>
        <v>2574.6226766275172</v>
      </c>
      <c r="M66" s="8"/>
      <c r="N66" s="125">
        <f t="shared" si="6"/>
        <v>10585.16</v>
      </c>
      <c r="O66" s="45">
        <f t="shared" si="7"/>
        <v>3.9850767</v>
      </c>
      <c r="P66" s="45">
        <v>3.98</v>
      </c>
    </row>
    <row r="67" spans="2:16" ht="19.5" customHeight="1">
      <c r="B67" s="125">
        <v>7456.9030000000002</v>
      </c>
      <c r="C67" s="112">
        <v>2.8777157</v>
      </c>
      <c r="D67" s="8"/>
      <c r="E67" s="150"/>
      <c r="F67" s="125">
        <v>6</v>
      </c>
      <c r="G67" s="8">
        <v>8</v>
      </c>
      <c r="H67" s="125">
        <f>IF(I67-INDEX($O$5:$O$117, MATCH(F67, $P$5:$P$117, 0))&gt;1,INDEX($O$5:$O$117, MATCH(F67, $P$5:$P$117, 0)),INDEX($O$5:$O$117, MATCH(F67-0.02, $P$5:$P$117, 0)))</f>
        <v>6.0482487000000003</v>
      </c>
      <c r="I67" s="45">
        <f>IF(INDEX($O$5:$O$117, MATCH(G67, $P$5:$P$117, 0))-INDEX($O$5:$O$117, MATCH(F67, $P$5:$P$117, 0))&gt;1,INDEX($O$5:$O$117, MATCH(G67, $P$5:$P$117, 0)),INDEX($O$5:$O$117, MATCH(G67+0.02, $P$5:$P$117, 0)))</f>
        <v>8.0078736999999993</v>
      </c>
      <c r="J67" s="8">
        <f>INDEX($N$5:$N$67, MATCH(H67, $O$5:$O$67, 0))</f>
        <v>16484.25</v>
      </c>
      <c r="K67" s="8">
        <f>INDEX($N$5:$N$67, MATCH(I67, $O$5:$O$67, 0))</f>
        <v>18327.93</v>
      </c>
      <c r="L67" s="148">
        <f>MAX(0, IFERROR((K67-J67)/(I67-H67), 0))</f>
        <v>940.8330675511902</v>
      </c>
      <c r="M67" s="8"/>
      <c r="N67" s="125">
        <f t="shared" si="6"/>
        <v>10865.43</v>
      </c>
      <c r="O67" s="45">
        <f t="shared" si="7"/>
        <v>4.0827637000000001</v>
      </c>
      <c r="P67" s="45">
        <v>4.0199999999999996</v>
      </c>
    </row>
    <row r="68" spans="2:16" ht="19.5" customHeight="1">
      <c r="B68" s="125">
        <v>7638.8789999999999</v>
      </c>
      <c r="C68" s="112">
        <v>2.9431767</v>
      </c>
      <c r="D68" s="8"/>
      <c r="E68" s="150"/>
      <c r="F68" s="125">
        <v>6.5</v>
      </c>
      <c r="G68" s="8">
        <v>8</v>
      </c>
      <c r="H68" s="125">
        <f>IF(I68-INDEX($O$5:$O$117, MATCH(F68, $P$5:$P$117, 0))&gt;1,INDEX($O$5:$O$117, MATCH(F68, $P$5:$P$117, 0)),INDEX($O$5:$O$117, MATCH(F68-0.02, $P$5:$P$117, 0)))</f>
        <v>6.5043636999999999</v>
      </c>
      <c r="I68" s="45">
        <f>IF(INDEX($O$5:$O$117, MATCH(G68, $P$5:$P$117, 0))-INDEX($O$5:$O$117, MATCH(F68, $P$5:$P$117, 0))&gt;1,INDEX($O$5:$O$117, MATCH(G68, $P$5:$P$117, 0)),INDEX($O$5:$O$117, MATCH(G68+0.02, $P$5:$P$117, 0)))</f>
        <v>8.0078736999999993</v>
      </c>
      <c r="J68" s="8">
        <f>INDEX($N$5:$N$67, MATCH(H68, $O$5:$O$67, 0))</f>
        <v>17757.27</v>
      </c>
      <c r="K68" s="8">
        <f>INDEX($N$5:$N$67, MATCH(I68, $O$5:$O$67, 0))</f>
        <v>18327.93</v>
      </c>
      <c r="L68" s="148">
        <f>MAX(0, IFERROR((K68-J68)/(I68-H68), 0))</f>
        <v>379.55184867410264</v>
      </c>
      <c r="M68" s="8"/>
      <c r="N68" s="125">
        <f t="shared" ref="N68:N115" si="8">INDEX($B$4:$B$1298,MATCH(O68,$C$4:$C$1309,0),1)</f>
        <v>11331.41</v>
      </c>
      <c r="O68" s="45">
        <f t="shared" ref="O68:O115" si="9">LARGE($C$4:$C$1309,COUNTIF($C$4:$C$1309,"&gt;="&amp;P68))</f>
        <v>4.2458496999999999</v>
      </c>
      <c r="P68" s="45">
        <v>4.2300000000000004</v>
      </c>
    </row>
    <row r="69" spans="2:16" ht="19.5" customHeight="1">
      <c r="B69" s="125">
        <v>7731.5519999999997</v>
      </c>
      <c r="C69" s="112">
        <v>2.9747927000000001</v>
      </c>
      <c r="D69" s="8"/>
      <c r="E69" s="150"/>
      <c r="F69" s="125">
        <v>8.25</v>
      </c>
      <c r="G69" s="8">
        <v>9.25</v>
      </c>
      <c r="H69" s="125">
        <f>IF(I69-INDEX($O$5:$O$117, MATCH(F69, $P$5:$P$117, 0))&gt;1,INDEX($O$5:$O$117, MATCH(F69, $P$5:$P$117, 0)),INDEX($O$5:$O$117, MATCH(F69-0.02, $P$5:$P$117, 0)))</f>
        <v>8.2694086999999996</v>
      </c>
      <c r="I69" s="45">
        <f>IF(INDEX($O$5:$O$117, MATCH(G69, $P$5:$P$117, 0))-INDEX($O$5:$O$117, MATCH(F69, $P$5:$P$117, 0))&gt;1,INDEX($O$5:$O$117, MATCH(G69, $P$5:$P$117, 0)),INDEX($O$5:$O$117, MATCH(G69+0.02, $P$5:$P$117, 0)))</f>
        <v>9.2768557000000005</v>
      </c>
      <c r="J69" s="8">
        <f>INDEX($N$5:$N$67, MATCH(H69, $O$5:$O$67, 0))</f>
        <v>421.87880000000001</v>
      </c>
      <c r="K69" s="8">
        <f>INDEX($N$5:$N$67, MATCH(I69, $O$5:$O$67, 0))</f>
        <v>502.6755</v>
      </c>
      <c r="L69" s="148">
        <f>MAX(0, IFERROR((K69-J69)/(I69-H69), 0))</f>
        <v>80.199454661138418</v>
      </c>
      <c r="M69" s="8"/>
      <c r="N69" s="125">
        <f t="shared" si="8"/>
        <v>11532.33</v>
      </c>
      <c r="O69" s="45">
        <f t="shared" si="9"/>
        <v>4.3111576999999999</v>
      </c>
      <c r="P69" s="45">
        <v>4.2699999999999996</v>
      </c>
    </row>
    <row r="70" spans="2:16" ht="19.5" customHeight="1">
      <c r="B70" s="125">
        <v>7928.692</v>
      </c>
      <c r="C70" s="112">
        <v>3.0076597</v>
      </c>
      <c r="D70" s="8"/>
      <c r="E70" s="150"/>
      <c r="F70" s="125">
        <v>8.25</v>
      </c>
      <c r="G70" s="8">
        <v>9.75</v>
      </c>
      <c r="H70" s="125">
        <f>IF(I70-INDEX($O$5:$O$117, MATCH(F70, $P$5:$P$117, 0))&gt;1,INDEX($O$5:$O$117, MATCH(F70, $P$5:$P$117, 0)),INDEX($O$5:$O$117, MATCH(F70-0.02, $P$5:$P$117, 0)))</f>
        <v>8.2694086999999996</v>
      </c>
      <c r="I70" s="45">
        <f>IF(INDEX($O$5:$O$117, MATCH(G70, $P$5:$P$117, 0))-INDEX($O$5:$O$117, MATCH(F70, $P$5:$P$117, 0))&gt;1,INDEX($O$5:$O$117, MATCH(G70, $P$5:$P$117, 0)),INDEX($O$5:$O$117, MATCH(G70+0.02, $P$5:$P$117, 0)))</f>
        <v>9.7963857000000001</v>
      </c>
      <c r="J70" s="8">
        <f>INDEX($N$5:$N$67, MATCH(H70, $O$5:$O$67, 0))</f>
        <v>421.87880000000001</v>
      </c>
      <c r="K70" s="8">
        <f>INDEX($N$5:$N$67, MATCH(I70, $O$5:$O$67, 0))</f>
        <v>543.07389999999998</v>
      </c>
      <c r="L70" s="148">
        <f>MAX(0, IFERROR((K70-J70)/(I70-H70), 0))</f>
        <v>79.369302877515466</v>
      </c>
      <c r="M70" s="8"/>
      <c r="N70" s="125">
        <f t="shared" si="8"/>
        <v>12175.59</v>
      </c>
      <c r="O70" s="45">
        <f t="shared" si="9"/>
        <v>4.5380856999999999</v>
      </c>
      <c r="P70" s="45">
        <v>4.4800000000000004</v>
      </c>
    </row>
    <row r="71" spans="2:16" ht="19.5" customHeight="1">
      <c r="B71" s="125">
        <v>8007.8850000000002</v>
      </c>
      <c r="C71" s="112">
        <v>3.0730586999999998</v>
      </c>
      <c r="D71" s="8"/>
      <c r="E71" s="150"/>
      <c r="F71" s="125">
        <v>8.75</v>
      </c>
      <c r="G71" s="8">
        <v>9.75</v>
      </c>
      <c r="H71" s="125">
        <f>IF(I71-INDEX($O$5:$O$117, MATCH(F71, $P$5:$P$117, 0))&gt;1,INDEX($O$5:$O$117, MATCH(F71, $P$5:$P$117, 0)),INDEX($O$5:$O$117, MATCH(F71-0.02, $P$5:$P$117, 0)))</f>
        <v>8.7897037000000005</v>
      </c>
      <c r="I71" s="45">
        <f>IF(INDEX($O$5:$O$117, MATCH(G71, $P$5:$P$117, 0))-INDEX($O$5:$O$117, MATCH(F71, $P$5:$P$117, 0))&gt;1,INDEX($O$5:$O$117, MATCH(G71, $P$5:$P$117, 0)),INDEX($O$5:$O$117, MATCH(G71+0.02, $P$5:$P$117, 0)))</f>
        <v>9.7963857000000001</v>
      </c>
      <c r="J71" s="8">
        <f>INDEX($N$5:$N$67, MATCH(H71, $O$5:$O$67, 0))</f>
        <v>465.64359999999999</v>
      </c>
      <c r="K71" s="8">
        <f>INDEX($N$5:$N$67, MATCH(I71, $O$5:$O$67, 0))</f>
        <v>543.07389999999998</v>
      </c>
      <c r="L71" s="148">
        <f>MAX(0, IFERROR((K71-J71)/(I71-H71), 0))</f>
        <v>76.916344982824782</v>
      </c>
      <c r="M71" s="8"/>
      <c r="N71" s="125">
        <f t="shared" si="8"/>
        <v>12175.59</v>
      </c>
      <c r="O71" s="45">
        <f t="shared" si="9"/>
        <v>4.5380856999999999</v>
      </c>
      <c r="P71" s="45">
        <v>4.5199999999999996</v>
      </c>
    </row>
    <row r="72" spans="2:16" ht="19.5" customHeight="1">
      <c r="B72" s="125">
        <v>8100.558</v>
      </c>
      <c r="C72" s="112">
        <v>3.1056216999999999</v>
      </c>
      <c r="D72" s="8"/>
      <c r="E72" s="150"/>
      <c r="F72" s="149">
        <v>8.5</v>
      </c>
      <c r="G72" s="8">
        <v>10</v>
      </c>
      <c r="H72" s="125">
        <f>IF(I72-INDEX($O$5:$O$117, MATCH(F72, $P$5:$P$117, 0))&gt;1,INDEX($O$5:$O$117, MATCH(F72, $P$5:$P$117, 0)),INDEX($O$5:$O$117, MATCH(F72-0.02, $P$5:$P$117, 0)))</f>
        <v>8.5614927000000005</v>
      </c>
      <c r="I72" s="45">
        <f>IF(INDEX($O$5:$O$117, MATCH(G72, $P$5:$P$117, 0))-INDEX($O$5:$O$117, MATCH(F72, $P$5:$P$117, 0))&gt;1,INDEX($O$5:$O$117, MATCH(G72, $P$5:$P$117, 0)),INDEX($O$5:$O$117, MATCH(G72+0.02, $P$5:$P$117, 0)))</f>
        <v>10.0238057</v>
      </c>
      <c r="J72" s="8">
        <f>INDEX($N$5:$N$67, MATCH(H72, $O$5:$O$67, 0))</f>
        <v>448.81099999999998</v>
      </c>
      <c r="K72" s="8">
        <f>INDEX($N$5:$N$67, MATCH(I72, $O$5:$O$67, 0))</f>
        <v>559.90650000000005</v>
      </c>
      <c r="L72" s="148">
        <f>MAX(0, IFERROR((K72-J72)/(I72-H72), 0))</f>
        <v>75.972449126828579</v>
      </c>
      <c r="M72" s="8"/>
      <c r="N72" s="125">
        <f t="shared" si="8"/>
        <v>12842.48</v>
      </c>
      <c r="O72" s="45">
        <f t="shared" si="9"/>
        <v>4.7725217000000004</v>
      </c>
      <c r="P72" s="45">
        <v>4.7300000000000004</v>
      </c>
    </row>
    <row r="73" spans="2:16" ht="19.5" customHeight="1">
      <c r="B73" s="125">
        <v>8282.5339999999997</v>
      </c>
      <c r="C73" s="112">
        <v>3.1713556999999999</v>
      </c>
      <c r="D73" s="8"/>
      <c r="E73" s="150"/>
      <c r="F73" s="149">
        <v>9</v>
      </c>
      <c r="G73" s="8">
        <v>10</v>
      </c>
      <c r="H73" s="125">
        <f>IF(I73-INDEX($O$5:$O$117, MATCH(F73, $P$5:$P$117, 0))&gt;1,INDEX($O$5:$O$117, MATCH(F73, $P$5:$P$117, 0)),INDEX($O$5:$O$117, MATCH(F73-0.02, $P$5:$P$117, 0)))</f>
        <v>9.0181886999999996</v>
      </c>
      <c r="I73" s="45">
        <f>IF(INDEX($O$5:$O$117, MATCH(G73, $P$5:$P$117, 0))-INDEX($O$5:$O$117, MATCH(F73, $P$5:$P$117, 0))&gt;1,INDEX($O$5:$O$117, MATCH(G73, $P$5:$P$117, 0)),INDEX($O$5:$O$117, MATCH(G73+0.02, $P$5:$P$117, 0)))</f>
        <v>10.0238057</v>
      </c>
      <c r="J73" s="8">
        <f>INDEX($N$5:$N$67, MATCH(H73, $O$5:$O$67, 0))</f>
        <v>484.15960000000001</v>
      </c>
      <c r="K73" s="8">
        <f>INDEX($N$5:$N$67, MATCH(I73, $O$5:$O$67, 0))</f>
        <v>559.90650000000005</v>
      </c>
      <c r="L73" s="148">
        <f>MAX(0, IFERROR((K73-J73)/(I73-H73), 0))</f>
        <v>75.323806180683079</v>
      </c>
      <c r="M73" s="8"/>
      <c r="N73" s="125">
        <f t="shared" si="8"/>
        <v>12842.48</v>
      </c>
      <c r="O73" s="45">
        <f t="shared" si="9"/>
        <v>4.7725217000000004</v>
      </c>
      <c r="P73" s="45">
        <v>4.7699999999999996</v>
      </c>
    </row>
    <row r="74" spans="2:16" ht="19.5" customHeight="1">
      <c r="B74" s="125">
        <v>8375.2070000000003</v>
      </c>
      <c r="C74" s="112">
        <v>3.2049257</v>
      </c>
      <c r="D74" s="8"/>
      <c r="E74" s="150"/>
      <c r="F74" s="149">
        <v>5.5</v>
      </c>
      <c r="G74" s="8">
        <v>6.5</v>
      </c>
      <c r="H74" s="125">
        <f>IF(I74-INDEX($O$5:$O$117, MATCH(F74, $P$5:$P$117, 0))&gt;1,INDEX($O$5:$O$117, MATCH(F74, $P$5:$P$117, 0)),INDEX($O$5:$O$117, MATCH(F74-0.02, $P$5:$P$117, 0)))</f>
        <v>5.5278926999999998</v>
      </c>
      <c r="I74" s="45">
        <f>IF(INDEX($O$5:$O$117, MATCH(G74, $P$5:$P$117, 0))-INDEX($O$5:$O$117, MATCH(F74, $P$5:$P$117, 0))&gt;1,INDEX($O$5:$O$117, MATCH(G74, $P$5:$P$117, 0)),INDEX($O$5:$O$117, MATCH(G74+0.02, $P$5:$P$117, 0)))</f>
        <v>6.5370486999999997</v>
      </c>
      <c r="J74" s="8">
        <f>INDEX($N$5:$N$67, MATCH(H74, $O$5:$O$67, 0))</f>
        <v>15006.95</v>
      </c>
      <c r="K74" s="8" t="e">
        <f>INDEX($N$5:$N$67, MATCH(I74, $O$5:$O$67, 0))</f>
        <v>#N/A</v>
      </c>
      <c r="L74" s="148">
        <f>MAX(0, IFERROR((K74-J74)/(I74-H74), 0))</f>
        <v>0</v>
      </c>
      <c r="M74" s="8"/>
      <c r="N74" s="125">
        <f t="shared" si="8"/>
        <v>13499.25</v>
      </c>
      <c r="O74" s="45">
        <f t="shared" si="9"/>
        <v>4.9995427000000001</v>
      </c>
      <c r="P74" s="45">
        <v>4.9800000000000004</v>
      </c>
    </row>
    <row r="75" spans="2:16" ht="19.5" customHeight="1">
      <c r="B75" s="125">
        <v>8558.8670000000002</v>
      </c>
      <c r="C75" s="112">
        <v>3.2365116999999999</v>
      </c>
      <c r="D75" s="8"/>
      <c r="E75" s="8"/>
      <c r="F75" s="125">
        <v>6.25</v>
      </c>
      <c r="G75" s="8">
        <v>7.25</v>
      </c>
      <c r="H75" s="125">
        <f>IF(I75-INDEX($O$5:$O$117, MATCH(F75, $P$5:$P$117, 0))&gt;1,INDEX($O$5:$O$117, MATCH(F75, $P$5:$P$117, 0)),INDEX($O$5:$O$117, MATCH(F75-0.02, $P$5:$P$117, 0)))</f>
        <v>6.2759397000000003</v>
      </c>
      <c r="I75" s="45">
        <f>IF(INDEX($O$5:$O$117, MATCH(G75, $P$5:$P$117, 0))-INDEX($O$5:$O$117, MATCH(F75, $P$5:$P$117, 0))&gt;1,INDEX($O$5:$O$117, MATCH(G75, $P$5:$P$117, 0)),INDEX($O$5:$O$117, MATCH(G75+0.02, $P$5:$P$117, 0)))</f>
        <v>7.3253177000000003</v>
      </c>
      <c r="J75" s="8">
        <f>INDEX($N$5:$N$67, MATCH(H75, $O$5:$O$67, 0))</f>
        <v>17124.14</v>
      </c>
      <c r="K75" s="8" t="e">
        <f>INDEX($N$5:$N$67, MATCH(I75, $O$5:$O$67, 0))</f>
        <v>#N/A</v>
      </c>
      <c r="L75" s="148">
        <f>MAX(0, IFERROR((K75-J75)/(I75-H75), 0))</f>
        <v>0</v>
      </c>
      <c r="M75" s="8"/>
      <c r="N75" s="125">
        <f t="shared" si="8"/>
        <v>13592.11</v>
      </c>
      <c r="O75" s="45">
        <f t="shared" si="9"/>
        <v>5.0322566999999996</v>
      </c>
      <c r="P75" s="45">
        <v>5.0199999999999996</v>
      </c>
    </row>
    <row r="76" spans="2:16" ht="19.5" customHeight="1">
      <c r="B76" s="125">
        <v>8653.2250000000004</v>
      </c>
      <c r="C76" s="112">
        <v>3.3009946999999999</v>
      </c>
      <c r="D76" s="8"/>
      <c r="E76" s="8"/>
      <c r="F76" s="149">
        <v>6</v>
      </c>
      <c r="G76" s="8">
        <v>7</v>
      </c>
      <c r="H76" s="125">
        <f>IF(I76-INDEX($O$5:$O$117, MATCH(F76, $P$5:$P$117, 0))&gt;1,INDEX($O$5:$O$117, MATCH(F76, $P$5:$P$117, 0)),INDEX($O$5:$O$117, MATCH(F76-0.02, $P$5:$P$117, 0)))</f>
        <v>5.9828486999999999</v>
      </c>
      <c r="I76" s="45">
        <f>IF(INDEX($O$5:$O$117, MATCH(G76, $P$5:$P$117, 0))-INDEX($O$5:$O$117, MATCH(F76, $P$5:$P$117, 0))&gt;1,INDEX($O$5:$O$117, MATCH(G76, $P$5:$P$117, 0)),INDEX($O$5:$O$117, MATCH(G76+0.02, $P$5:$P$117, 0)))</f>
        <v>7.0322566999999996</v>
      </c>
      <c r="J76" s="8" t="e">
        <f>INDEX($N$5:$N$67, MATCH(H76, $O$5:$O$67, 0))</f>
        <v>#N/A</v>
      </c>
      <c r="K76" s="8">
        <f>INDEX($N$5:$N$67, MATCH(I76, $O$5:$O$67, 0))</f>
        <v>19271.72</v>
      </c>
      <c r="L76" s="148">
        <f>MAX(0, IFERROR((K76-J76)/(I76-H76), 0))</f>
        <v>0</v>
      </c>
      <c r="M76" s="8"/>
      <c r="N76" s="125">
        <f t="shared" si="8"/>
        <v>14274.2</v>
      </c>
      <c r="O76" s="45">
        <f t="shared" si="9"/>
        <v>5.2681576999999997</v>
      </c>
      <c r="P76" s="45">
        <f>P68+1</f>
        <v>5.23</v>
      </c>
    </row>
    <row r="77" spans="2:16" ht="19.5" customHeight="1">
      <c r="B77" s="125">
        <v>8744.2129999999997</v>
      </c>
      <c r="C77" s="112">
        <v>3.3337097</v>
      </c>
      <c r="D77" s="8"/>
      <c r="E77" s="8"/>
      <c r="F77" s="149">
        <v>8.5</v>
      </c>
      <c r="G77" s="8">
        <v>9.5</v>
      </c>
      <c r="H77" s="125">
        <f>IF(I77-INDEX($O$5:$O$117, MATCH(F77, $P$5:$P$117, 0))&gt;1,INDEX($O$5:$O$117, MATCH(F77, $P$5:$P$117, 0)),INDEX($O$5:$O$117, MATCH(F77-0.02, $P$5:$P$117, 0)))</f>
        <v>8.4974667000000004</v>
      </c>
      <c r="I77" s="45">
        <f>IF(INDEX($O$5:$O$117, MATCH(G77, $P$5:$P$117, 0))-INDEX($O$5:$O$117, MATCH(F77, $P$5:$P$117, 0))&gt;1,INDEX($O$5:$O$117, MATCH(G77, $P$5:$P$117, 0)),INDEX($O$5:$O$117, MATCH(G77+0.02, $P$5:$P$117, 0)))</f>
        <v>9.5388157000000007</v>
      </c>
      <c r="J77" s="8" t="e">
        <f>INDEX($N$5:$N$67, MATCH(H77, $O$5:$O$67, 0))</f>
        <v>#N/A</v>
      </c>
      <c r="K77" s="8" t="e">
        <f>INDEX($N$5:$N$67, MATCH(I77, $O$5:$O$67, 0))</f>
        <v>#N/A</v>
      </c>
      <c r="L77" s="148">
        <f>MAX(0, IFERROR((K77-J77)/(I77-H77), 0))</f>
        <v>0</v>
      </c>
      <c r="M77" s="8"/>
      <c r="N77" s="125">
        <f t="shared" si="8"/>
        <v>14368.75</v>
      </c>
      <c r="O77" s="45">
        <f t="shared" si="9"/>
        <v>5.2994076999999997</v>
      </c>
      <c r="P77" s="45">
        <f t="shared" ref="P77:P115" si="10">P69+1</f>
        <v>5.27</v>
      </c>
    </row>
    <row r="78" spans="2:16" ht="19.5" customHeight="1">
      <c r="B78" s="125">
        <v>8929.5580000000009</v>
      </c>
      <c r="C78" s="112">
        <v>3.3992007000000002</v>
      </c>
      <c r="D78" s="8"/>
      <c r="E78" s="8"/>
      <c r="F78" s="125">
        <v>4.75</v>
      </c>
      <c r="G78" s="8">
        <v>5.75</v>
      </c>
      <c r="H78" s="125">
        <f>IF(I78-INDEX($O$5:$O$117, MATCH(F78, $P$5:$P$117, 0))&gt;1,INDEX($O$5:$O$117, MATCH(F78, $P$5:$P$117, 0)),INDEX($O$5:$O$117, MATCH(F78-0.02, $P$5:$P$117, 0)))</f>
        <v>4.7725217000000004</v>
      </c>
      <c r="I78" s="45">
        <f>IF(INDEX($O$5:$O$117, MATCH(G78, $P$5:$P$117, 0))-INDEX($O$5:$O$117, MATCH(F78, $P$5:$P$117, 0))&gt;1,INDEX($O$5:$O$117, MATCH(G78, $P$5:$P$117, 0)),INDEX($O$5:$O$117, MATCH(G78+0.02, $P$5:$P$117, 0)))</f>
        <v>5.8211057000000004</v>
      </c>
      <c r="J78" s="8">
        <f>INDEX($N$5:$N$67, MATCH(H78, $O$5:$O$67, 0))</f>
        <v>12842.48</v>
      </c>
      <c r="K78" s="8" t="e">
        <f>INDEX($N$5:$N$67, MATCH(I78, $O$5:$O$67, 0))</f>
        <v>#N/A</v>
      </c>
      <c r="L78" s="148">
        <f>MAX(0, IFERROR((K78-J78)/(I78-H78), 0))</f>
        <v>0</v>
      </c>
      <c r="M78" s="8"/>
      <c r="N78" s="125">
        <f t="shared" si="8"/>
        <v>14914.09</v>
      </c>
      <c r="O78" s="45">
        <f t="shared" si="9"/>
        <v>5.4964906999999998</v>
      </c>
      <c r="P78" s="45">
        <f t="shared" si="10"/>
        <v>5.48</v>
      </c>
    </row>
    <row r="79" spans="2:16" ht="19.5" customHeight="1">
      <c r="B79" s="125">
        <v>9022.2309999999998</v>
      </c>
      <c r="C79" s="112">
        <v>3.4309997000000001</v>
      </c>
      <c r="D79" s="8"/>
      <c r="E79" s="8"/>
      <c r="F79" s="149">
        <v>6.75</v>
      </c>
      <c r="G79" s="8">
        <v>8.25</v>
      </c>
      <c r="H79" s="125">
        <f>IF(I79-INDEX($O$5:$O$117, MATCH(F79, $P$5:$P$117, 0))&gt;1,INDEX($O$5:$O$117, MATCH(F79, $P$5:$P$117, 0)),INDEX($O$5:$O$117, MATCH(F79-0.02, $P$5:$P$117, 0)))</f>
        <v>6.7666627000000004</v>
      </c>
      <c r="I79" s="45">
        <f>IF(INDEX($O$5:$O$117, MATCH(G79, $P$5:$P$117, 0))-INDEX($O$5:$O$117, MATCH(F79, $P$5:$P$117, 0))&gt;1,INDEX($O$5:$O$117, MATCH(G79, $P$5:$P$117, 0)),INDEX($O$5:$O$117, MATCH(G79+0.02, $P$5:$P$117, 0)))</f>
        <v>8.2694086999999996</v>
      </c>
      <c r="J79" s="8">
        <f>INDEX($N$5:$N$67, MATCH(H79, $O$5:$O$67, 0))</f>
        <v>18468.060000000001</v>
      </c>
      <c r="K79" s="8">
        <f>INDEX($N$5:$N$67, MATCH(I79, $O$5:$O$67, 0))</f>
        <v>421.87880000000001</v>
      </c>
      <c r="L79" s="148">
        <f>MAX(0, IFERROR((K79-J79)/(I79-H79), 0))</f>
        <v>0</v>
      </c>
      <c r="M79" s="8"/>
      <c r="N79" s="125">
        <f t="shared" si="8"/>
        <v>15006.95</v>
      </c>
      <c r="O79" s="45">
        <f t="shared" si="9"/>
        <v>5.5278926999999998</v>
      </c>
      <c r="P79" s="45">
        <f t="shared" si="10"/>
        <v>5.52</v>
      </c>
    </row>
    <row r="80" spans="2:16" ht="19.5" customHeight="1">
      <c r="B80" s="125">
        <v>9207.5769999999993</v>
      </c>
      <c r="C80" s="112">
        <v>3.4640507</v>
      </c>
      <c r="D80" s="8"/>
      <c r="E80" s="8"/>
      <c r="F80" s="125">
        <v>7</v>
      </c>
      <c r="G80" s="8">
        <v>8.5</v>
      </c>
      <c r="H80" s="125">
        <f>IF(I80-INDEX($O$5:$O$117, MATCH(F80, $P$5:$P$117, 0))&gt;1,INDEX($O$5:$O$117, MATCH(F80, $P$5:$P$117, 0)),INDEX($O$5:$O$117, MATCH(F80-0.02, $P$5:$P$117, 0)))</f>
        <v>7.0322566999999996</v>
      </c>
      <c r="I80" s="45">
        <f>IF(INDEX($O$5:$O$117, MATCH(G80, $P$5:$P$117, 0))-INDEX($O$5:$O$117, MATCH(F80, $P$5:$P$117, 0))&gt;1,INDEX($O$5:$O$117, MATCH(G80, $P$5:$P$117, 0)),INDEX($O$5:$O$117, MATCH(G80+0.02, $P$5:$P$117, 0)))</f>
        <v>8.5614927000000005</v>
      </c>
      <c r="J80" s="8">
        <f>INDEX($N$5:$N$67, MATCH(H80, $O$5:$O$67, 0))</f>
        <v>19271.72</v>
      </c>
      <c r="K80" s="8">
        <f>INDEX($N$5:$N$67, MATCH(I80, $O$5:$O$67, 0))</f>
        <v>448.81099999999998</v>
      </c>
      <c r="L80" s="148">
        <f>MAX(0, IFERROR((K80-J80)/(I80-H80), 0))</f>
        <v>0</v>
      </c>
      <c r="M80" s="8"/>
      <c r="N80" s="125">
        <f t="shared" si="8"/>
        <v>15668.78</v>
      </c>
      <c r="O80" s="45">
        <f t="shared" si="9"/>
        <v>5.7560726999999998</v>
      </c>
      <c r="P80" s="45">
        <f t="shared" si="10"/>
        <v>5.73</v>
      </c>
    </row>
    <row r="81" spans="2:16" ht="19.5" customHeight="1">
      <c r="B81" s="125">
        <v>9300.2489999999998</v>
      </c>
      <c r="C81" s="112">
        <v>3.5284727</v>
      </c>
      <c r="D81" s="8"/>
      <c r="E81" s="8"/>
      <c r="F81" s="149">
        <v>6.75</v>
      </c>
      <c r="G81" s="8">
        <v>8.75</v>
      </c>
      <c r="H81" s="125">
        <f>IF(I81-INDEX($O$5:$O$117, MATCH(F81, $P$5:$P$117, 0))&gt;1,INDEX($O$5:$O$117, MATCH(F81, $P$5:$P$117, 0)),INDEX($O$5:$O$117, MATCH(F81-0.02, $P$5:$P$117, 0)))</f>
        <v>6.7666627000000004</v>
      </c>
      <c r="I81" s="45">
        <f>IF(INDEX($O$5:$O$117, MATCH(G81, $P$5:$P$117, 0))-INDEX($O$5:$O$117, MATCH(F81, $P$5:$P$117, 0))&gt;1,INDEX($O$5:$O$117, MATCH(G81, $P$5:$P$117, 0)),INDEX($O$5:$O$117, MATCH(G81+0.02, $P$5:$P$117, 0)))</f>
        <v>8.7897037000000005</v>
      </c>
      <c r="J81" s="8">
        <f>INDEX($N$5:$N$67, MATCH(H81, $O$5:$O$67, 0))</f>
        <v>18468.060000000001</v>
      </c>
      <c r="K81" s="8">
        <f>INDEX($N$5:$N$67, MATCH(I81, $O$5:$O$67, 0))</f>
        <v>465.64359999999999</v>
      </c>
      <c r="L81" s="148">
        <f>MAX(0, IFERROR((K81-J81)/(I81-H81), 0))</f>
        <v>0</v>
      </c>
      <c r="M81" s="8"/>
      <c r="N81" s="125">
        <f t="shared" si="8"/>
        <v>15840.99</v>
      </c>
      <c r="O81" s="45">
        <f t="shared" si="9"/>
        <v>5.8211057000000004</v>
      </c>
      <c r="P81" s="45">
        <f t="shared" si="10"/>
        <v>5.77</v>
      </c>
    </row>
    <row r="82" spans="2:16" ht="19.5" customHeight="1">
      <c r="B82" s="125">
        <v>9392.9210000000003</v>
      </c>
      <c r="C82" s="112">
        <v>3.5609126999999998</v>
      </c>
      <c r="D82" s="8"/>
      <c r="E82" s="8"/>
      <c r="F82" s="149">
        <v>7.5</v>
      </c>
      <c r="G82" s="8">
        <v>8.5</v>
      </c>
      <c r="H82" s="125">
        <f>IF(I82-INDEX($O$5:$O$117, MATCH(F82, $P$5:$P$117, 0))&gt;1,INDEX($O$5:$O$117, MATCH(F82, $P$5:$P$117, 0)),INDEX($O$5:$O$117, MATCH(F82-0.02, $P$5:$P$117, 0)))</f>
        <v>7.5537106999999999</v>
      </c>
      <c r="I82" s="45">
        <f>IF(INDEX($O$5:$O$117, MATCH(G82, $P$5:$P$117, 0))-INDEX($O$5:$O$117, MATCH(F82, $P$5:$P$117, 0))&gt;1,INDEX($O$5:$O$117, MATCH(G82, $P$5:$P$117, 0)),INDEX($O$5:$O$117, MATCH(G82+0.02, $P$5:$P$117, 0)))</f>
        <v>8.5614927000000005</v>
      </c>
      <c r="J82" s="8">
        <f>INDEX($N$5:$N$67, MATCH(H82, $O$5:$O$67, 0))</f>
        <v>20523.150000000001</v>
      </c>
      <c r="K82" s="8">
        <f>INDEX($N$5:$N$67, MATCH(I82, $O$5:$O$67, 0))</f>
        <v>448.81099999999998</v>
      </c>
      <c r="L82" s="148">
        <f>MAX(0, IFERROR((K82-J82)/(I82-H82), 0))</f>
        <v>0</v>
      </c>
      <c r="M82" s="8"/>
      <c r="N82" s="125">
        <f t="shared" si="8"/>
        <v>16300.22</v>
      </c>
      <c r="O82" s="45">
        <f t="shared" si="9"/>
        <v>5.9828486999999999</v>
      </c>
      <c r="P82" s="45">
        <f t="shared" si="10"/>
        <v>5.98</v>
      </c>
    </row>
    <row r="83" spans="2:16" ht="19.5" customHeight="1">
      <c r="B83" s="125">
        <v>9576.5830000000005</v>
      </c>
      <c r="C83" s="112">
        <v>3.6278377000000002</v>
      </c>
      <c r="D83" s="8"/>
      <c r="E83" s="8"/>
      <c r="F83" s="149">
        <v>7.25</v>
      </c>
      <c r="G83" s="8">
        <v>8.75</v>
      </c>
      <c r="H83" s="125">
        <f>IF(I83-INDEX($O$5:$O$117, MATCH(F83, $P$5:$P$117, 0))&gt;1,INDEX($O$5:$O$117, MATCH(F83, $P$5:$P$117, 0)),INDEX($O$5:$O$117, MATCH(F83-0.02, $P$5:$P$117, 0)))</f>
        <v>7.2589417000000003</v>
      </c>
      <c r="I83" s="45">
        <f>IF(INDEX($O$5:$O$117, MATCH(G83, $P$5:$P$117, 0))-INDEX($O$5:$O$117, MATCH(F83, $P$5:$P$117, 0))&gt;1,INDEX($O$5:$O$117, MATCH(G83, $P$5:$P$117, 0)),INDEX($O$5:$O$117, MATCH(G83+0.02, $P$5:$P$117, 0)))</f>
        <v>8.7897037000000005</v>
      </c>
      <c r="J83" s="8">
        <f>INDEX($N$5:$N$67, MATCH(H83, $O$5:$O$67, 0))</f>
        <v>19866.009999999998</v>
      </c>
      <c r="K83" s="8">
        <f>INDEX($N$5:$N$67, MATCH(I83, $O$5:$O$67, 0))</f>
        <v>465.64359999999999</v>
      </c>
      <c r="L83" s="148">
        <f>MAX(0, IFERROR((K83-J83)/(I83-H83), 0))</f>
        <v>0</v>
      </c>
      <c r="M83" s="8"/>
      <c r="N83" s="125">
        <f t="shared" si="8"/>
        <v>16484.25</v>
      </c>
      <c r="O83" s="45">
        <f t="shared" si="9"/>
        <v>6.0482487000000003</v>
      </c>
      <c r="P83" s="45">
        <f t="shared" si="10"/>
        <v>6.02</v>
      </c>
    </row>
    <row r="84" spans="2:16" ht="19.5" customHeight="1">
      <c r="B84" s="125">
        <v>9655.7759999999998</v>
      </c>
      <c r="C84" s="112">
        <v>3.6592717000000001</v>
      </c>
      <c r="D84" s="8"/>
      <c r="E84" s="8"/>
      <c r="F84" s="125">
        <v>7</v>
      </c>
      <c r="G84" s="8">
        <v>9</v>
      </c>
      <c r="H84" s="125">
        <f>IF(I84-INDEX($O$5:$O$117, MATCH(F84, $P$5:$P$117, 0))&gt;1,INDEX($O$5:$O$117, MATCH(F84, $P$5:$P$117, 0)),INDEX($O$5:$O$117, MATCH(F84-0.02, $P$5:$P$117, 0)))</f>
        <v>7.0322566999999996</v>
      </c>
      <c r="I84" s="45">
        <f>IF(INDEX($O$5:$O$117, MATCH(G84, $P$5:$P$117, 0))-INDEX($O$5:$O$117, MATCH(F84, $P$5:$P$117, 0))&gt;1,INDEX($O$5:$O$117, MATCH(G84, $P$5:$P$117, 0)),INDEX($O$5:$O$117, MATCH(G84+0.02, $P$5:$P$117, 0)))</f>
        <v>9.0181886999999996</v>
      </c>
      <c r="J84" s="8">
        <f>INDEX($N$5:$N$67, MATCH(H84, $O$5:$O$67, 0))</f>
        <v>19271.72</v>
      </c>
      <c r="K84" s="8">
        <f>INDEX($N$5:$N$67, MATCH(I84, $O$5:$O$67, 0))</f>
        <v>484.15960000000001</v>
      </c>
      <c r="L84" s="148">
        <f>MAX(0, IFERROR((K84-J84)/(I84-H84), 0))</f>
        <v>0</v>
      </c>
      <c r="M84" s="8"/>
      <c r="N84" s="125">
        <f t="shared" si="8"/>
        <v>17124.14</v>
      </c>
      <c r="O84" s="45">
        <f t="shared" si="9"/>
        <v>6.2759397000000003</v>
      </c>
      <c r="P84" s="45">
        <f t="shared" si="10"/>
        <v>6.23</v>
      </c>
    </row>
    <row r="85" spans="2:16" ht="19.5" customHeight="1">
      <c r="B85" s="125">
        <v>9842.8070000000007</v>
      </c>
      <c r="C85" s="112">
        <v>3.6917727</v>
      </c>
      <c r="D85" s="8"/>
      <c r="E85" s="8"/>
      <c r="F85" s="125">
        <v>7.75</v>
      </c>
      <c r="G85" s="8">
        <v>8.75</v>
      </c>
      <c r="H85" s="125">
        <f>IF(I85-INDEX($O$5:$O$117, MATCH(F85, $P$5:$P$117, 0))&gt;1,INDEX($O$5:$O$117, MATCH(F85, $P$5:$P$117, 0)),INDEX($O$5:$O$117, MATCH(F85-0.02, $P$5:$P$117, 0)))</f>
        <v>7.7821046999999997</v>
      </c>
      <c r="I85" s="45">
        <f>IF(INDEX($O$5:$O$117, MATCH(G85, $P$5:$P$117, 0))-INDEX($O$5:$O$117, MATCH(F85, $P$5:$P$117, 0))&gt;1,INDEX($O$5:$O$117, MATCH(G85, $P$5:$P$117, 0)),INDEX($O$5:$O$117, MATCH(G85+0.02, $P$5:$P$117, 0)))</f>
        <v>8.7897037000000005</v>
      </c>
      <c r="J85" s="8">
        <f>INDEX($N$5:$N$67, MATCH(H85, $O$5:$O$67, 0))</f>
        <v>21082.44</v>
      </c>
      <c r="K85" s="8">
        <f>INDEX($N$5:$N$67, MATCH(I85, $O$5:$O$67, 0))</f>
        <v>465.64359999999999</v>
      </c>
      <c r="L85" s="148">
        <f>MAX(0, IFERROR((K85-J85)/(I85-H85), 0))</f>
        <v>0</v>
      </c>
      <c r="M85" s="8"/>
      <c r="N85" s="125">
        <f t="shared" si="8"/>
        <v>17124.14</v>
      </c>
      <c r="O85" s="45">
        <f t="shared" si="9"/>
        <v>6.2759397000000003</v>
      </c>
      <c r="P85" s="45">
        <f t="shared" si="10"/>
        <v>6.27</v>
      </c>
    </row>
    <row r="86" spans="2:16" ht="19.5" customHeight="1">
      <c r="B86" s="125">
        <v>9935.4789999999994</v>
      </c>
      <c r="C86" s="112">
        <v>3.7567447</v>
      </c>
      <c r="D86" s="8"/>
      <c r="E86" s="8"/>
      <c r="F86" s="125">
        <v>7.5</v>
      </c>
      <c r="G86" s="8">
        <v>9</v>
      </c>
      <c r="H86" s="125">
        <f>IF(I86-INDEX($O$5:$O$117, MATCH(F86, $P$5:$P$117, 0))&gt;1,INDEX($O$5:$O$117, MATCH(F86, $P$5:$P$117, 0)),INDEX($O$5:$O$117, MATCH(F86-0.02, $P$5:$P$117, 0)))</f>
        <v>7.5537106999999999</v>
      </c>
      <c r="I86" s="45">
        <f>IF(INDEX($O$5:$O$117, MATCH(G86, $P$5:$P$117, 0))-INDEX($O$5:$O$117, MATCH(F86, $P$5:$P$117, 0))&gt;1,INDEX($O$5:$O$117, MATCH(G86, $P$5:$P$117, 0)),INDEX($O$5:$O$117, MATCH(G86+0.02, $P$5:$P$117, 0)))</f>
        <v>9.0181886999999996</v>
      </c>
      <c r="J86" s="8">
        <f>INDEX($N$5:$N$67, MATCH(H86, $O$5:$O$67, 0))</f>
        <v>20523.150000000001</v>
      </c>
      <c r="K86" s="8">
        <f>INDEX($N$5:$N$67, MATCH(I86, $O$5:$O$67, 0))</f>
        <v>484.15960000000001</v>
      </c>
      <c r="L86" s="148">
        <f>MAX(0, IFERROR((K86-J86)/(I86-H86), 0))</f>
        <v>0</v>
      </c>
      <c r="M86" s="8"/>
      <c r="N86" s="125">
        <f t="shared" si="8"/>
        <v>17757.27</v>
      </c>
      <c r="O86" s="45">
        <f t="shared" si="9"/>
        <v>6.5043636999999999</v>
      </c>
      <c r="P86" s="45">
        <f t="shared" si="10"/>
        <v>6.48</v>
      </c>
    </row>
    <row r="87" spans="2:16" ht="19.5" customHeight="1">
      <c r="B87" s="125">
        <v>10028.15</v>
      </c>
      <c r="C87" s="112">
        <v>3.7893677000000001</v>
      </c>
      <c r="D87" s="8"/>
      <c r="E87" s="8"/>
      <c r="F87" s="149">
        <v>7.25</v>
      </c>
      <c r="G87" s="8">
        <v>9.25</v>
      </c>
      <c r="H87" s="125">
        <f>IF(I87-INDEX($O$5:$O$117, MATCH(F87, $P$5:$P$117, 0))&gt;1,INDEX($O$5:$O$117, MATCH(F87, $P$5:$P$117, 0)),INDEX($O$5:$O$117, MATCH(F87-0.02, $P$5:$P$117, 0)))</f>
        <v>7.2589417000000003</v>
      </c>
      <c r="I87" s="45">
        <f>IF(INDEX($O$5:$O$117, MATCH(G87, $P$5:$P$117, 0))-INDEX($O$5:$O$117, MATCH(F87, $P$5:$P$117, 0))&gt;1,INDEX($O$5:$O$117, MATCH(G87, $P$5:$P$117, 0)),INDEX($O$5:$O$117, MATCH(G87+0.02, $P$5:$P$117, 0)))</f>
        <v>9.2768557000000005</v>
      </c>
      <c r="J87" s="8">
        <f>INDEX($N$5:$N$67, MATCH(H87, $O$5:$O$67, 0))</f>
        <v>19866.009999999998</v>
      </c>
      <c r="K87" s="8">
        <f>INDEX($N$5:$N$67, MATCH(I87, $O$5:$O$67, 0))</f>
        <v>502.6755</v>
      </c>
      <c r="L87" s="148">
        <f>MAX(0, IFERROR((K87-J87)/(I87-H87), 0))</f>
        <v>0</v>
      </c>
      <c r="M87" s="8"/>
      <c r="N87" s="125">
        <f t="shared" si="8"/>
        <v>17845.060000000001</v>
      </c>
      <c r="O87" s="45">
        <f t="shared" si="9"/>
        <v>6.5370486999999997</v>
      </c>
      <c r="P87" s="45">
        <f t="shared" si="10"/>
        <v>6.52</v>
      </c>
    </row>
    <row r="88" spans="2:16" ht="19.5" customHeight="1">
      <c r="B88" s="125">
        <v>10212.040000000001</v>
      </c>
      <c r="C88" s="112">
        <v>3.8544917000000001</v>
      </c>
      <c r="D88" s="8"/>
      <c r="E88" s="8"/>
      <c r="F88" s="149">
        <v>7.75</v>
      </c>
      <c r="G88" s="8">
        <v>9.25</v>
      </c>
      <c r="H88" s="125">
        <f>IF(I88-INDEX($O$5:$O$117, MATCH(F88, $P$5:$P$117, 0))&gt;1,INDEX($O$5:$O$117, MATCH(F88, $P$5:$P$117, 0)),INDEX($O$5:$O$117, MATCH(F88-0.02, $P$5:$P$117, 0)))</f>
        <v>7.7821046999999997</v>
      </c>
      <c r="I88" s="45">
        <f>IF(INDEX($O$5:$O$117, MATCH(G88, $P$5:$P$117, 0))-INDEX($O$5:$O$117, MATCH(F88, $P$5:$P$117, 0))&gt;1,INDEX($O$5:$O$117, MATCH(G88, $P$5:$P$117, 0)),INDEX($O$5:$O$117, MATCH(G88+0.02, $P$5:$P$117, 0)))</f>
        <v>9.2768557000000005</v>
      </c>
      <c r="J88" s="8">
        <f>INDEX($N$5:$N$67, MATCH(H88, $O$5:$O$67, 0))</f>
        <v>21082.44</v>
      </c>
      <c r="K88" s="8">
        <f>INDEX($N$5:$N$67, MATCH(I88, $O$5:$O$67, 0))</f>
        <v>502.6755</v>
      </c>
      <c r="L88" s="148">
        <f>MAX(0, IFERROR((K88-J88)/(I88-H88), 0))</f>
        <v>0</v>
      </c>
      <c r="M88" s="8"/>
      <c r="N88" s="125">
        <f t="shared" si="8"/>
        <v>18378.580000000002</v>
      </c>
      <c r="O88" s="45">
        <f t="shared" si="9"/>
        <v>6.7322386999999999</v>
      </c>
      <c r="P88" s="45">
        <f t="shared" si="10"/>
        <v>6.73</v>
      </c>
    </row>
    <row r="89" spans="2:16" ht="19.5" customHeight="1">
      <c r="B89" s="125">
        <v>10318.4</v>
      </c>
      <c r="C89" s="112">
        <v>3.8880306999999998</v>
      </c>
      <c r="D89" s="8"/>
      <c r="E89" s="8"/>
      <c r="F89" s="149">
        <v>7</v>
      </c>
      <c r="G89" s="8">
        <v>8</v>
      </c>
      <c r="H89" s="125">
        <f>IF(I89-INDEX($O$5:$O$117, MATCH(F89, $P$5:$P$117, 0))&gt;1,INDEX($O$5:$O$117, MATCH(F89, $P$5:$P$117, 0)),INDEX($O$5:$O$117, MATCH(F89-0.02, $P$5:$P$117, 0)))</f>
        <v>7.0322566999999996</v>
      </c>
      <c r="I89" s="45">
        <f>IF(INDEX($O$5:$O$117, MATCH(G89, $P$5:$P$117, 0))-INDEX($O$5:$O$117, MATCH(F89, $P$5:$P$117, 0))&gt;1,INDEX($O$5:$O$117, MATCH(G89, $P$5:$P$117, 0)),INDEX($O$5:$O$117, MATCH(G89+0.02, $P$5:$P$117, 0)))</f>
        <v>8.0415647000000003</v>
      </c>
      <c r="J89" s="8">
        <f>INDEX($N$5:$N$67, MATCH(H89, $O$5:$O$67, 0))</f>
        <v>19271.72</v>
      </c>
      <c r="K89" s="8" t="e">
        <f>INDEX($N$5:$N$67, MATCH(I89, $O$5:$O$67, 0))</f>
        <v>#N/A</v>
      </c>
      <c r="L89" s="148">
        <f>MAX(0, IFERROR((K89-J89)/(I89-H89), 0))</f>
        <v>0</v>
      </c>
      <c r="M89" s="8"/>
      <c r="N89" s="125">
        <f t="shared" si="8"/>
        <v>18647.03</v>
      </c>
      <c r="O89" s="45">
        <f t="shared" si="9"/>
        <v>6.7966917000000002</v>
      </c>
      <c r="P89" s="45">
        <f t="shared" si="10"/>
        <v>6.77</v>
      </c>
    </row>
    <row r="90" spans="2:16" ht="19.5" customHeight="1">
      <c r="B90" s="125">
        <v>10492.3</v>
      </c>
      <c r="C90" s="112">
        <v>3.9199826999999998</v>
      </c>
      <c r="D90" s="8"/>
      <c r="E90" s="8"/>
      <c r="F90" s="125">
        <v>7.25</v>
      </c>
      <c r="G90" s="8">
        <v>8.25</v>
      </c>
      <c r="H90" s="125">
        <f>IF(I90-INDEX($O$5:$O$117, MATCH(F90, $P$5:$P$117, 0))&gt;1,INDEX($O$5:$O$117, MATCH(F90, $P$5:$P$117, 0)),INDEX($O$5:$O$117, MATCH(F90-0.02, $P$5:$P$117, 0)))</f>
        <v>7.2589417000000003</v>
      </c>
      <c r="I90" s="45">
        <f>IF(INDEX($O$5:$O$117, MATCH(G90, $P$5:$P$117, 0))-INDEX($O$5:$O$117, MATCH(F90, $P$5:$P$117, 0))&gt;1,INDEX($O$5:$O$117, MATCH(G90, $P$5:$P$117, 0)),INDEX($O$5:$O$117, MATCH(G90+0.02, $P$5:$P$117, 0)))</f>
        <v>8.2694086999999996</v>
      </c>
      <c r="J90" s="8">
        <f>INDEX($N$5:$N$67, MATCH(H90, $O$5:$O$67, 0))</f>
        <v>19866.009999999998</v>
      </c>
      <c r="K90" s="8">
        <f>INDEX($N$5:$N$67, MATCH(I90, $O$5:$O$67, 0))</f>
        <v>421.87880000000001</v>
      </c>
      <c r="L90" s="148">
        <f>MAX(0, IFERROR((K90-J90)/(I90-H90), 0))</f>
        <v>0</v>
      </c>
      <c r="M90" s="8"/>
      <c r="N90" s="125">
        <f t="shared" si="8"/>
        <v>19097.82</v>
      </c>
      <c r="O90" s="45">
        <f t="shared" si="9"/>
        <v>6.9997256999999999</v>
      </c>
      <c r="P90" s="45">
        <f t="shared" si="10"/>
        <v>6.98</v>
      </c>
    </row>
    <row r="91" spans="2:16" ht="19.5" customHeight="1">
      <c r="B91" s="125">
        <v>10585.16</v>
      </c>
      <c r="C91" s="112">
        <v>3.9850767</v>
      </c>
      <c r="D91" s="8"/>
      <c r="E91" s="8"/>
      <c r="F91" s="149">
        <v>7.5</v>
      </c>
      <c r="G91" s="8">
        <v>9.5</v>
      </c>
      <c r="H91" s="125">
        <f>IF(I91-INDEX($O$5:$O$117, MATCH(F91, $P$5:$P$117, 0))&gt;1,INDEX($O$5:$O$117, MATCH(F91, $P$5:$P$117, 0)),INDEX($O$5:$O$117, MATCH(F91-0.02, $P$5:$P$117, 0)))</f>
        <v>7.5537106999999999</v>
      </c>
      <c r="I91" s="45">
        <f>IF(INDEX($O$5:$O$117, MATCH(G91, $P$5:$P$117, 0))-INDEX($O$5:$O$117, MATCH(F91, $P$5:$P$117, 0))&gt;1,INDEX($O$5:$O$117, MATCH(G91, $P$5:$P$117, 0)),INDEX($O$5:$O$117, MATCH(G91+0.02, $P$5:$P$117, 0)))</f>
        <v>9.5049156999999997</v>
      </c>
      <c r="J91" s="8">
        <f>INDEX($N$5:$N$67, MATCH(H91, $O$5:$O$67, 0))</f>
        <v>20523.150000000001</v>
      </c>
      <c r="K91" s="8">
        <f>INDEX($N$5:$N$67, MATCH(I91, $O$5:$O$67, 0))</f>
        <v>519.50810000000001</v>
      </c>
      <c r="L91" s="148">
        <f>MAX(0, IFERROR((K91-J91)/(I91-H91), 0))</f>
        <v>0</v>
      </c>
      <c r="M91" s="8"/>
      <c r="N91" s="125">
        <f t="shared" si="8"/>
        <v>19271.72</v>
      </c>
      <c r="O91" s="45">
        <f t="shared" si="9"/>
        <v>7.0322566999999996</v>
      </c>
      <c r="P91" s="45">
        <f t="shared" si="10"/>
        <v>7.02</v>
      </c>
    </row>
    <row r="92" spans="2:16" ht="19.5" customHeight="1">
      <c r="B92" s="125">
        <v>10678.02</v>
      </c>
      <c r="C92" s="112">
        <v>4.0160216999999996</v>
      </c>
      <c r="D92" s="8"/>
      <c r="E92" s="8"/>
      <c r="F92" s="125">
        <v>7.75</v>
      </c>
      <c r="G92" s="8">
        <v>9.75</v>
      </c>
      <c r="H92" s="125">
        <f>IF(I92-INDEX($O$5:$O$117, MATCH(F92, $P$5:$P$117, 0))&gt;1,INDEX($O$5:$O$117, MATCH(F92, $P$5:$P$117, 0)),INDEX($O$5:$O$117, MATCH(F92-0.02, $P$5:$P$117, 0)))</f>
        <v>7.7821046999999997</v>
      </c>
      <c r="I92" s="45">
        <f>IF(INDEX($O$5:$O$117, MATCH(G92, $P$5:$P$117, 0))-INDEX($O$5:$O$117, MATCH(F92, $P$5:$P$117, 0))&gt;1,INDEX($O$5:$O$117, MATCH(G92, $P$5:$P$117, 0)),INDEX($O$5:$O$117, MATCH(G92+0.02, $P$5:$P$117, 0)))</f>
        <v>9.7963857000000001</v>
      </c>
      <c r="J92" s="8">
        <f>INDEX($N$5:$N$67, MATCH(H92, $O$5:$O$67, 0))</f>
        <v>21082.44</v>
      </c>
      <c r="K92" s="8">
        <f>INDEX($N$5:$N$67, MATCH(I92, $O$5:$O$67, 0))</f>
        <v>543.07389999999998</v>
      </c>
      <c r="L92" s="148">
        <f>MAX(0, IFERROR((K92-J92)/(I92-H92), 0))</f>
        <v>0</v>
      </c>
      <c r="M92" s="8"/>
      <c r="N92" s="125">
        <f t="shared" si="8"/>
        <v>19866.009999999998</v>
      </c>
      <c r="O92" s="45">
        <f t="shared" si="9"/>
        <v>7.2589417000000003</v>
      </c>
      <c r="P92" s="45">
        <f t="shared" si="10"/>
        <v>7.23</v>
      </c>
    </row>
    <row r="93" spans="2:16" ht="19.5" customHeight="1">
      <c r="B93" s="125">
        <v>10865.43</v>
      </c>
      <c r="C93" s="112">
        <v>4.0827637000000001</v>
      </c>
      <c r="D93" s="8"/>
      <c r="E93" s="8"/>
      <c r="F93" s="149">
        <v>8</v>
      </c>
      <c r="G93" s="8">
        <v>9.5</v>
      </c>
      <c r="H93" s="125">
        <f>IF(I93-INDEX($O$5:$O$117, MATCH(F93, $P$5:$P$117, 0))&gt;1,INDEX($O$5:$O$117, MATCH(F93, $P$5:$P$117, 0)),INDEX($O$5:$O$117, MATCH(F93-0.02, $P$5:$P$117, 0)))</f>
        <v>8.0078736999999993</v>
      </c>
      <c r="I93" s="45">
        <f>IF(INDEX($O$5:$O$117, MATCH(G93, $P$5:$P$117, 0))-INDEX($O$5:$O$117, MATCH(F93, $P$5:$P$117, 0))&gt;1,INDEX($O$5:$O$117, MATCH(G93, $P$5:$P$117, 0)),INDEX($O$5:$O$117, MATCH(G93+0.02, $P$5:$P$117, 0)))</f>
        <v>9.5049156999999997</v>
      </c>
      <c r="J93" s="8">
        <f>INDEX($N$5:$N$67, MATCH(H93, $O$5:$O$67, 0))</f>
        <v>18327.93</v>
      </c>
      <c r="K93" s="8">
        <f>INDEX($N$5:$N$67, MATCH(I93, $O$5:$O$67, 0))</f>
        <v>519.50810000000001</v>
      </c>
      <c r="L93" s="148">
        <f>MAX(0, IFERROR((K93-J93)/(I93-H93), 0))</f>
        <v>0</v>
      </c>
      <c r="M93" s="8"/>
      <c r="N93" s="125">
        <f t="shared" si="8"/>
        <v>19950.43</v>
      </c>
      <c r="O93" s="45">
        <f t="shared" si="9"/>
        <v>7.3253177000000003</v>
      </c>
      <c r="P93" s="45">
        <f t="shared" si="10"/>
        <v>7.27</v>
      </c>
    </row>
    <row r="94" spans="2:16" ht="19.5" customHeight="1">
      <c r="B94" s="125">
        <v>10958.29</v>
      </c>
      <c r="C94" s="112">
        <v>4.1152647</v>
      </c>
      <c r="D94" s="8"/>
      <c r="E94" s="8"/>
      <c r="F94" s="125">
        <v>8</v>
      </c>
      <c r="G94" s="8">
        <v>10</v>
      </c>
      <c r="H94" s="125">
        <f>IF(I94-INDEX($O$5:$O$117, MATCH(F94, $P$5:$P$117, 0))&gt;1,INDEX($O$5:$O$117, MATCH(F94, $P$5:$P$117, 0)),INDEX($O$5:$O$117, MATCH(F94-0.02, $P$5:$P$117, 0)))</f>
        <v>8.0078736999999993</v>
      </c>
      <c r="I94" s="45">
        <f>IF(INDEX($O$5:$O$117, MATCH(G94, $P$5:$P$117, 0))-INDEX($O$5:$O$117, MATCH(F94, $P$5:$P$117, 0))&gt;1,INDEX($O$5:$O$117, MATCH(G94, $P$5:$P$117, 0)),INDEX($O$5:$O$117, MATCH(G94+0.02, $P$5:$P$117, 0)))</f>
        <v>10.0238057</v>
      </c>
      <c r="J94" s="8">
        <f>INDEX($N$5:$N$67, MATCH(H94, $O$5:$O$67, 0))</f>
        <v>18327.93</v>
      </c>
      <c r="K94" s="8">
        <f>INDEX($N$5:$N$67, MATCH(I94, $O$5:$O$67, 0))</f>
        <v>559.90650000000005</v>
      </c>
      <c r="L94" s="148">
        <f>MAX(0, IFERROR((K94-J94)/(I94-H94), 0))</f>
        <v>0</v>
      </c>
      <c r="M94" s="8"/>
      <c r="N94" s="125">
        <f t="shared" si="8"/>
        <v>20443.740000000002</v>
      </c>
      <c r="O94" s="45">
        <f t="shared" si="9"/>
        <v>7.4880977</v>
      </c>
      <c r="P94" s="45">
        <f t="shared" si="10"/>
        <v>7.48</v>
      </c>
    </row>
    <row r="95" spans="2:16" ht="19.5" customHeight="1">
      <c r="B95" s="125">
        <v>11144.01</v>
      </c>
      <c r="C95" s="112">
        <v>4.1468197</v>
      </c>
      <c r="D95" s="8"/>
      <c r="E95" s="8"/>
      <c r="F95" s="149">
        <v>6.25</v>
      </c>
      <c r="G95" s="8">
        <v>8.25</v>
      </c>
      <c r="H95" s="125">
        <f>IF(I95-INDEX($O$5:$O$117, MATCH(F95, $P$5:$P$117, 0))&gt;1,INDEX($O$5:$O$117, MATCH(F95, $P$5:$P$117, 0)),INDEX($O$5:$O$117, MATCH(F95-0.02, $P$5:$P$117, 0)))</f>
        <v>6.2759397000000003</v>
      </c>
      <c r="I95" s="45">
        <f>IF(INDEX($O$5:$O$117, MATCH(G95, $P$5:$P$117, 0))-INDEX($O$5:$O$117, MATCH(F95, $P$5:$P$117, 0))&gt;1,INDEX($O$5:$O$117, MATCH(G95, $P$5:$P$117, 0)),INDEX($O$5:$O$117, MATCH(G95+0.02, $P$5:$P$117, 0)))</f>
        <v>8.2694086999999996</v>
      </c>
      <c r="J95" s="8">
        <f>INDEX($N$5:$N$67, MATCH(H95, $O$5:$O$67, 0))</f>
        <v>17124.14</v>
      </c>
      <c r="K95" s="8">
        <f>INDEX($N$5:$N$67, MATCH(I95, $O$5:$O$67, 0))</f>
        <v>421.87880000000001</v>
      </c>
      <c r="L95" s="148">
        <f>MAX(0, IFERROR((K95-J95)/(I95-H95), 0))</f>
        <v>0</v>
      </c>
      <c r="M95" s="8"/>
      <c r="N95" s="125">
        <f t="shared" si="8"/>
        <v>20523.150000000001</v>
      </c>
      <c r="O95" s="45">
        <f t="shared" si="9"/>
        <v>7.5537106999999999</v>
      </c>
      <c r="P95" s="45">
        <f t="shared" si="10"/>
        <v>7.52</v>
      </c>
    </row>
    <row r="96" spans="2:16" ht="19.5" customHeight="1">
      <c r="B96" s="125">
        <v>11236.87</v>
      </c>
      <c r="C96" s="112">
        <v>4.2132877000000004</v>
      </c>
      <c r="D96" s="8"/>
      <c r="E96" s="8"/>
      <c r="F96" s="125">
        <v>6.5</v>
      </c>
      <c r="G96" s="8">
        <v>8.5</v>
      </c>
      <c r="H96" s="125">
        <f>IF(I96-INDEX($O$5:$O$117, MATCH(F96, $P$5:$P$117, 0))&gt;1,INDEX($O$5:$O$117, MATCH(F96, $P$5:$P$117, 0)),INDEX($O$5:$O$117, MATCH(F96-0.02, $P$5:$P$117, 0)))</f>
        <v>6.5043636999999999</v>
      </c>
      <c r="I96" s="45">
        <f>IF(INDEX($O$5:$O$117, MATCH(G96, $P$5:$P$117, 0))-INDEX($O$5:$O$117, MATCH(F96, $P$5:$P$117, 0))&gt;1,INDEX($O$5:$O$117, MATCH(G96, $P$5:$P$117, 0)),INDEX($O$5:$O$117, MATCH(G96+0.02, $P$5:$P$117, 0)))</f>
        <v>8.5614927000000005</v>
      </c>
      <c r="J96" s="8">
        <f>INDEX($N$5:$N$67, MATCH(H96, $O$5:$O$67, 0))</f>
        <v>17757.27</v>
      </c>
      <c r="K96" s="8">
        <f>INDEX($N$5:$N$67, MATCH(I96, $O$5:$O$67, 0))</f>
        <v>448.81099999999998</v>
      </c>
      <c r="L96" s="148">
        <f>MAX(0, IFERROR((K96-J96)/(I96-H96), 0))</f>
        <v>0</v>
      </c>
      <c r="M96" s="8"/>
      <c r="N96" s="125">
        <f t="shared" si="8"/>
        <v>21082.44</v>
      </c>
      <c r="O96" s="45">
        <f t="shared" si="9"/>
        <v>7.7821046999999997</v>
      </c>
      <c r="P96" s="45">
        <f>P88+1</f>
        <v>7.73</v>
      </c>
    </row>
    <row r="97" spans="2:16" ht="19.5" customHeight="1">
      <c r="B97" s="125">
        <v>11331.41</v>
      </c>
      <c r="C97" s="112">
        <v>4.2458496999999999</v>
      </c>
      <c r="D97" s="8"/>
      <c r="E97" s="8"/>
      <c r="F97" s="125">
        <v>4.25</v>
      </c>
      <c r="G97" s="8">
        <v>5.25</v>
      </c>
      <c r="H97" s="125">
        <f>IF(I97-INDEX($O$5:$O$117, MATCH(F97, $P$5:$P$117, 0))&gt;1,INDEX($O$5:$O$117, MATCH(F97, $P$5:$P$117, 0)),INDEX($O$5:$O$117, MATCH(F97-0.02, $P$5:$P$117, 0)))</f>
        <v>4.2458496999999999</v>
      </c>
      <c r="I97" s="45">
        <f>IF(INDEX($O$5:$O$117, MATCH(G97, $P$5:$P$117, 0))-INDEX($O$5:$O$117, MATCH(F97, $P$5:$P$117, 0))&gt;1,INDEX($O$5:$O$117, MATCH(G97, $P$5:$P$117, 0)),INDEX($O$5:$O$117, MATCH(G97+0.02, $P$5:$P$117, 0)))</f>
        <v>5.2994076999999997</v>
      </c>
      <c r="J97" s="8" t="e">
        <f>INDEX($N$5:$N$67, MATCH(H97, $O$5:$O$67, 0))</f>
        <v>#N/A</v>
      </c>
      <c r="K97" s="8" t="e">
        <f>INDEX($N$5:$N$67, MATCH(I97, $O$5:$O$67, 0))</f>
        <v>#N/A</v>
      </c>
      <c r="L97" s="148">
        <f>MAX(0, IFERROR((K97-J97)/(I97-H97), 0))</f>
        <v>0</v>
      </c>
      <c r="M97" s="8"/>
      <c r="N97" s="125">
        <f t="shared" si="8"/>
        <v>21082.44</v>
      </c>
      <c r="O97" s="45">
        <f t="shared" si="9"/>
        <v>7.7821046999999997</v>
      </c>
      <c r="P97" s="45">
        <f t="shared" si="10"/>
        <v>7.77</v>
      </c>
    </row>
    <row r="98" spans="2:16" ht="19.5" customHeight="1">
      <c r="B98" s="125">
        <v>11532.33</v>
      </c>
      <c r="C98" s="112">
        <v>4.3111576999999999</v>
      </c>
      <c r="D98" s="8"/>
      <c r="E98" s="8"/>
      <c r="F98" s="151">
        <v>8</v>
      </c>
      <c r="G98" s="46">
        <v>9</v>
      </c>
      <c r="H98" s="126">
        <f>IF(I98-INDEX($O$5:$O$117, MATCH(F98, $P$5:$P$117, 0))&gt;1,INDEX($O$5:$O$117, MATCH(F98, $P$5:$P$117, 0)),INDEX($O$5:$O$117, MATCH(F98-0.02, $P$5:$P$117, 0)))</f>
        <v>8.0078736999999993</v>
      </c>
      <c r="I98" s="41">
        <f>IF(INDEX($O$5:$O$117, MATCH(G98, $P$5:$P$117, 0))-INDEX($O$5:$O$117, MATCH(F98, $P$5:$P$117, 0))&gt;1,INDEX($O$5:$O$117, MATCH(G98, $P$5:$P$117, 0)),INDEX($O$5:$O$117, MATCH(G98+0.02, $P$5:$P$117, 0)))</f>
        <v>9.0181886999999996</v>
      </c>
      <c r="J98" s="46">
        <f>INDEX($N$5:$N$67, MATCH(H98, $O$5:$O$67, 0))</f>
        <v>18327.93</v>
      </c>
      <c r="K98" s="46">
        <f>INDEX($N$5:$N$67, MATCH(I98, $O$5:$O$67, 0))</f>
        <v>484.15960000000001</v>
      </c>
      <c r="L98" s="152">
        <f>MAX(0, IFERROR((K98-J98)/(I98-H98), 0))</f>
        <v>0</v>
      </c>
      <c r="M98" s="8"/>
      <c r="N98" s="125">
        <f t="shared" si="8"/>
        <v>18327.93</v>
      </c>
      <c r="O98" s="45">
        <f t="shared" si="9"/>
        <v>8.0078736999999993</v>
      </c>
      <c r="P98" s="45">
        <f t="shared" si="10"/>
        <v>7.98</v>
      </c>
    </row>
    <row r="99" spans="2:16" ht="19.5" customHeight="1">
      <c r="B99" s="125">
        <v>11613.37</v>
      </c>
      <c r="C99" s="112">
        <v>4.3428956999999997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125">
        <f t="shared" si="8"/>
        <v>13739</v>
      </c>
      <c r="O99" s="45">
        <f t="shared" si="9"/>
        <v>8.0415647000000003</v>
      </c>
      <c r="P99" s="45">
        <f t="shared" si="10"/>
        <v>8.02</v>
      </c>
    </row>
    <row r="100" spans="2:16" ht="19.5" customHeight="1">
      <c r="B100" s="125">
        <v>11800.77</v>
      </c>
      <c r="C100" s="112">
        <v>4.3754277000000004</v>
      </c>
      <c r="D100" s="8"/>
      <c r="E100" s="8"/>
      <c r="F100" s="153"/>
      <c r="G100" s="8"/>
      <c r="H100" s="8"/>
      <c r="I100" s="8"/>
      <c r="J100" s="8"/>
      <c r="K100" s="8"/>
      <c r="L100" s="8"/>
      <c r="M100" s="8"/>
      <c r="N100" s="125">
        <f t="shared" si="8"/>
        <v>418.51220000000001</v>
      </c>
      <c r="O100" s="45">
        <f t="shared" si="9"/>
        <v>8.2367246999999999</v>
      </c>
      <c r="P100" s="45">
        <f t="shared" si="10"/>
        <v>8.23</v>
      </c>
    </row>
    <row r="101" spans="2:16" ht="19.5" customHeight="1">
      <c r="B101" s="125">
        <v>11895.32</v>
      </c>
      <c r="C101" s="112">
        <v>4.4399107000000004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125">
        <f t="shared" si="8"/>
        <v>428.61180000000002</v>
      </c>
      <c r="O101" s="45">
        <f t="shared" si="9"/>
        <v>8.3341677000000001</v>
      </c>
      <c r="P101" s="45">
        <f t="shared" si="10"/>
        <v>8.27</v>
      </c>
    </row>
    <row r="102" spans="2:16" ht="19.5" customHeight="1">
      <c r="B102" s="125">
        <v>11988.18</v>
      </c>
      <c r="C102" s="112">
        <v>4.4745486999999997</v>
      </c>
      <c r="D102" s="8"/>
      <c r="E102" s="8"/>
      <c r="F102" s="153"/>
      <c r="G102" s="8"/>
      <c r="H102" s="8"/>
      <c r="I102" s="8"/>
      <c r="J102" s="8"/>
      <c r="K102" s="8"/>
      <c r="L102" s="8"/>
      <c r="M102" s="8"/>
      <c r="N102" s="125">
        <f t="shared" si="8"/>
        <v>442.0779</v>
      </c>
      <c r="O102" s="45">
        <f t="shared" si="9"/>
        <v>8.4974667000000004</v>
      </c>
      <c r="P102" s="45">
        <f t="shared" si="10"/>
        <v>8.48</v>
      </c>
    </row>
    <row r="103" spans="2:16" ht="19.5" customHeight="1">
      <c r="B103" s="125">
        <v>12175.59</v>
      </c>
      <c r="C103" s="112">
        <v>4.5380856999999999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125">
        <f t="shared" si="8"/>
        <v>448.81099999999998</v>
      </c>
      <c r="O103" s="45">
        <f t="shared" si="9"/>
        <v>8.5614927000000005</v>
      </c>
      <c r="P103" s="45">
        <f t="shared" si="10"/>
        <v>8.52</v>
      </c>
    </row>
    <row r="104" spans="2:16" ht="19.5" customHeight="1">
      <c r="B104" s="125">
        <v>12268.45</v>
      </c>
      <c r="C104" s="112">
        <v>4.5705257000000001</v>
      </c>
      <c r="D104" s="8"/>
      <c r="E104" s="8"/>
      <c r="F104" s="153"/>
      <c r="G104" s="8"/>
      <c r="H104" s="8"/>
      <c r="I104" s="8"/>
      <c r="J104" s="8"/>
      <c r="K104" s="8"/>
      <c r="L104" s="8"/>
      <c r="M104" s="8"/>
      <c r="N104" s="125">
        <f t="shared" si="8"/>
        <v>465.64359999999999</v>
      </c>
      <c r="O104" s="45">
        <f t="shared" si="9"/>
        <v>8.7897037000000005</v>
      </c>
      <c r="P104" s="45">
        <f t="shared" si="10"/>
        <v>8.73</v>
      </c>
    </row>
    <row r="105" spans="2:16" ht="19.5" customHeight="1">
      <c r="B105" s="125">
        <v>12455.85</v>
      </c>
      <c r="C105" s="112">
        <v>4.6022036999999996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125">
        <f t="shared" si="8"/>
        <v>465.64359999999999</v>
      </c>
      <c r="O105" s="45">
        <f t="shared" si="9"/>
        <v>8.7897037000000005</v>
      </c>
      <c r="P105" s="45">
        <f t="shared" si="10"/>
        <v>8.77</v>
      </c>
    </row>
    <row r="106" spans="2:16" ht="19.5" customHeight="1">
      <c r="B106" s="125">
        <v>12562.22</v>
      </c>
      <c r="C106" s="112">
        <v>4.6748346999999999</v>
      </c>
      <c r="D106" s="8"/>
      <c r="E106" s="8"/>
      <c r="F106" s="153"/>
      <c r="G106" s="8"/>
      <c r="H106" s="8"/>
      <c r="I106" s="8"/>
      <c r="J106" s="8"/>
      <c r="K106" s="8"/>
      <c r="L106" s="8"/>
      <c r="M106" s="8"/>
      <c r="N106" s="125">
        <f t="shared" si="8"/>
        <v>484.15960000000001</v>
      </c>
      <c r="O106" s="45">
        <f t="shared" si="9"/>
        <v>9.0181886999999996</v>
      </c>
      <c r="P106" s="45">
        <f t="shared" si="10"/>
        <v>8.98</v>
      </c>
    </row>
    <row r="107" spans="2:16" ht="19.5" customHeight="1">
      <c r="B107" s="125">
        <v>12668.58</v>
      </c>
      <c r="C107" s="112">
        <v>4.7076107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125">
        <f t="shared" si="8"/>
        <v>485.84280000000001</v>
      </c>
      <c r="O107" s="45">
        <f t="shared" si="9"/>
        <v>9.0507507</v>
      </c>
      <c r="P107" s="45">
        <f t="shared" si="10"/>
        <v>9.02</v>
      </c>
    </row>
    <row r="108" spans="2:16" ht="19.5" customHeight="1">
      <c r="B108" s="125">
        <v>12842.48</v>
      </c>
      <c r="C108" s="112">
        <v>4.7725217000000004</v>
      </c>
      <c r="D108" s="8"/>
      <c r="E108" s="8"/>
      <c r="F108" s="153"/>
      <c r="G108" s="8"/>
      <c r="H108" s="8"/>
      <c r="I108" s="8"/>
      <c r="J108" s="8"/>
      <c r="K108" s="8"/>
      <c r="L108" s="8"/>
      <c r="M108" s="8"/>
      <c r="N108" s="125">
        <f t="shared" si="8"/>
        <v>499.30889999999999</v>
      </c>
      <c r="O108" s="45">
        <f t="shared" si="9"/>
        <v>9.2456057000000005</v>
      </c>
      <c r="P108" s="45">
        <f t="shared" si="10"/>
        <v>9.23</v>
      </c>
    </row>
    <row r="109" spans="2:16" ht="19.5" customHeight="1">
      <c r="B109" s="125">
        <v>12937.03</v>
      </c>
      <c r="C109" s="112">
        <v>4.8050847000000001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125">
        <f t="shared" si="8"/>
        <v>502.6755</v>
      </c>
      <c r="O109" s="45">
        <f t="shared" si="9"/>
        <v>9.2768557000000005</v>
      </c>
      <c r="P109" s="45">
        <f t="shared" si="10"/>
        <v>9.27</v>
      </c>
    </row>
    <row r="110" spans="2:16" ht="19.5" customHeight="1">
      <c r="B110" s="125">
        <v>13126.13</v>
      </c>
      <c r="C110" s="112">
        <v>4.8378907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125">
        <f t="shared" si="8"/>
        <v>519.50810000000001</v>
      </c>
      <c r="O110" s="45">
        <f t="shared" si="9"/>
        <v>9.5049156999999997</v>
      </c>
      <c r="P110" s="45">
        <f>P102+1</f>
        <v>9.48</v>
      </c>
    </row>
    <row r="111" spans="2:16" ht="19.5" customHeight="1">
      <c r="B111" s="125">
        <v>13232.49</v>
      </c>
      <c r="C111" s="112">
        <v>4.9031677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125">
        <f t="shared" si="8"/>
        <v>526.24120000000005</v>
      </c>
      <c r="O111" s="45">
        <f t="shared" si="9"/>
        <v>9.5388157000000007</v>
      </c>
      <c r="P111" s="45">
        <f t="shared" si="10"/>
        <v>9.52</v>
      </c>
    </row>
    <row r="112" spans="2:16" ht="19.5" customHeight="1">
      <c r="B112" s="125">
        <v>13311.85</v>
      </c>
      <c r="C112" s="112">
        <v>4.9352106999999998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125">
        <f t="shared" si="8"/>
        <v>539.70730000000003</v>
      </c>
      <c r="O112" s="45">
        <f t="shared" si="9"/>
        <v>9.7360556999999996</v>
      </c>
      <c r="P112" s="45">
        <f t="shared" si="10"/>
        <v>9.73</v>
      </c>
    </row>
    <row r="113" spans="2:16" ht="19.5" customHeight="1">
      <c r="B113" s="125">
        <v>13499.25</v>
      </c>
      <c r="C113" s="112">
        <v>4.9995427000000001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125">
        <f t="shared" si="8"/>
        <v>543.07389999999998</v>
      </c>
      <c r="O113" s="45">
        <f t="shared" si="9"/>
        <v>9.7963857000000001</v>
      </c>
      <c r="P113" s="45">
        <f t="shared" si="10"/>
        <v>9.77</v>
      </c>
    </row>
    <row r="114" spans="2:16" ht="19.5" customHeight="1">
      <c r="B114" s="125">
        <v>13592.11</v>
      </c>
      <c r="C114" s="112">
        <v>5.0322566999999996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125">
        <f t="shared" si="8"/>
        <v>559.90650000000005</v>
      </c>
      <c r="O114" s="45">
        <f t="shared" si="9"/>
        <v>10.0238057</v>
      </c>
      <c r="P114" s="45">
        <f t="shared" si="10"/>
        <v>9.98</v>
      </c>
    </row>
    <row r="115" spans="2:16" ht="19.5" customHeight="1">
      <c r="B115" s="125">
        <v>13781.21</v>
      </c>
      <c r="C115" s="112">
        <v>5.0664676999999996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126">
        <f t="shared" si="8"/>
        <v>559.90650000000005</v>
      </c>
      <c r="O115" s="41">
        <f t="shared" si="9"/>
        <v>10.0238057</v>
      </c>
      <c r="P115" s="41">
        <f t="shared" si="10"/>
        <v>10.02</v>
      </c>
    </row>
    <row r="116" spans="2:16" ht="19.5" customHeight="1">
      <c r="B116" s="125">
        <v>13874.07</v>
      </c>
      <c r="C116" s="112">
        <v>5.1306456999999996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 spans="2:16" ht="19.5" customHeight="1">
      <c r="B117" s="125">
        <v>13966.92</v>
      </c>
      <c r="C117" s="112">
        <v>5.1629027000000001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2:16" ht="19.5" customHeight="1">
      <c r="B118" s="125">
        <v>14154.33</v>
      </c>
      <c r="C118" s="112">
        <v>5.2294007000000002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spans="2:16" ht="19.5" customHeight="1">
      <c r="B119" s="125">
        <v>14274.2</v>
      </c>
      <c r="C119" s="112">
        <v>5.2681576999999997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2:16" ht="19.5" customHeight="1">
      <c r="B120" s="125">
        <v>14368.75</v>
      </c>
      <c r="C120" s="112">
        <v>5.2994076999999997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2:16" ht="19.5" customHeight="1">
      <c r="B121" s="125">
        <v>14554.47</v>
      </c>
      <c r="C121" s="112">
        <v>5.3646547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spans="2:16" ht="19.5" customHeight="1">
      <c r="B122" s="125">
        <v>14647.33</v>
      </c>
      <c r="C122" s="112">
        <v>5.3974307000000001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spans="2:16" ht="19.5" customHeight="1">
      <c r="B123" s="125">
        <v>14834.74</v>
      </c>
      <c r="C123" s="112">
        <v>5.4299926999999997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spans="2:16" ht="19.5" customHeight="1">
      <c r="B124" s="125">
        <v>14914.09</v>
      </c>
      <c r="C124" s="112">
        <v>5.4964906999999998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spans="2:16" ht="19.5" customHeight="1">
      <c r="B125" s="125">
        <v>15006.95</v>
      </c>
      <c r="C125" s="112">
        <v>5.5278926999999998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spans="2:16" ht="19.5" customHeight="1">
      <c r="B126" s="125">
        <v>15192.67</v>
      </c>
      <c r="C126" s="112">
        <v>5.5932617000000002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spans="2:16" ht="19.5" customHeight="1">
      <c r="B127" s="125">
        <v>15287.21</v>
      </c>
      <c r="C127" s="112">
        <v>5.6256107000000002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spans="2:16" ht="19.5" customHeight="1">
      <c r="B128" s="125">
        <v>15484.75</v>
      </c>
      <c r="C128" s="112">
        <v>5.6582637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2:3" ht="19.5" customHeight="1">
      <c r="B129" s="125">
        <v>15564.1</v>
      </c>
      <c r="C129" s="112">
        <v>5.7234496999999998</v>
      </c>
    </row>
    <row r="130" spans="2:3" ht="19.5" customHeight="1">
      <c r="B130" s="125">
        <v>15668.78</v>
      </c>
      <c r="C130" s="112">
        <v>5.7560726999999998</v>
      </c>
    </row>
    <row r="131" spans="2:3" ht="19.5" customHeight="1">
      <c r="B131" s="125">
        <v>15840.99</v>
      </c>
      <c r="C131" s="112">
        <v>5.8211057000000004</v>
      </c>
    </row>
    <row r="132" spans="2:3" ht="19.5" customHeight="1">
      <c r="B132" s="125">
        <v>15932.16</v>
      </c>
      <c r="C132" s="112">
        <v>5.8536986999999998</v>
      </c>
    </row>
    <row r="133" spans="2:3" ht="19.5" customHeight="1">
      <c r="B133" s="125">
        <v>16116.19</v>
      </c>
      <c r="C133" s="112">
        <v>5.8864746999999999</v>
      </c>
    </row>
    <row r="134" spans="2:3" ht="19.5" customHeight="1">
      <c r="B134" s="125">
        <v>16209.05</v>
      </c>
      <c r="C134" s="112">
        <v>5.9501957000000001</v>
      </c>
    </row>
    <row r="135" spans="2:3" ht="19.5" customHeight="1">
      <c r="B135" s="125">
        <v>16300.22</v>
      </c>
      <c r="C135" s="112">
        <v>5.9828486999999999</v>
      </c>
    </row>
    <row r="136" spans="2:3" ht="19.5" customHeight="1">
      <c r="B136" s="125">
        <v>16484.25</v>
      </c>
      <c r="C136" s="112">
        <v>6.0482487000000003</v>
      </c>
    </row>
    <row r="137" spans="2:3" ht="19.5" customHeight="1">
      <c r="B137" s="125">
        <v>16575.419999999998</v>
      </c>
      <c r="C137" s="112">
        <v>6.0802307000000004</v>
      </c>
    </row>
    <row r="138" spans="2:3" ht="19.5" customHeight="1">
      <c r="B138" s="125">
        <v>16757.759999999998</v>
      </c>
      <c r="C138" s="112">
        <v>6.1129457</v>
      </c>
    </row>
    <row r="139" spans="2:3" ht="19.5" customHeight="1">
      <c r="B139" s="125">
        <v>16862.439999999999</v>
      </c>
      <c r="C139" s="112">
        <v>6.1800847000000001</v>
      </c>
    </row>
    <row r="140" spans="2:3" ht="19.5" customHeight="1">
      <c r="B140" s="125">
        <v>16941.8</v>
      </c>
      <c r="C140" s="112">
        <v>6.2109987000000002</v>
      </c>
    </row>
    <row r="141" spans="2:3" ht="19.5" customHeight="1">
      <c r="B141" s="125">
        <v>17124.14</v>
      </c>
      <c r="C141" s="112">
        <v>6.2759397000000003</v>
      </c>
    </row>
    <row r="142" spans="2:3" ht="19.5" customHeight="1">
      <c r="B142" s="125">
        <v>17215.310000000001</v>
      </c>
      <c r="C142" s="112">
        <v>6.3086856999999998</v>
      </c>
    </row>
    <row r="143" spans="2:3" ht="19.5" customHeight="1">
      <c r="B143" s="125">
        <v>17395.96</v>
      </c>
      <c r="C143" s="112">
        <v>6.3431397</v>
      </c>
    </row>
    <row r="144" spans="2:3" ht="19.5" customHeight="1">
      <c r="B144" s="125">
        <v>17487.13</v>
      </c>
      <c r="C144" s="112">
        <v>6.4067077000000001</v>
      </c>
    </row>
    <row r="145" spans="2:3" ht="19.5" customHeight="1">
      <c r="B145" s="125">
        <v>17578.3</v>
      </c>
      <c r="C145" s="112">
        <v>6.4388737000000003</v>
      </c>
    </row>
    <row r="146" spans="2:3" ht="19.5" customHeight="1">
      <c r="B146" s="125">
        <v>17757.27</v>
      </c>
      <c r="C146" s="112">
        <v>6.5043636999999999</v>
      </c>
    </row>
    <row r="147" spans="2:3" ht="19.5" customHeight="1">
      <c r="B147" s="125">
        <v>17845.060000000001</v>
      </c>
      <c r="C147" s="112">
        <v>6.5370486999999997</v>
      </c>
    </row>
    <row r="148" spans="2:3" ht="19.5" customHeight="1">
      <c r="B148" s="125">
        <v>18022.34</v>
      </c>
      <c r="C148" s="112">
        <v>6.5696107000000001</v>
      </c>
    </row>
    <row r="149" spans="2:3" ht="19.5" customHeight="1">
      <c r="B149" s="125">
        <v>18110.13</v>
      </c>
      <c r="C149" s="112">
        <v>6.6344297000000001</v>
      </c>
    </row>
    <row r="150" spans="2:3" ht="19.5" customHeight="1">
      <c r="B150" s="125">
        <v>18199.62</v>
      </c>
      <c r="C150" s="112">
        <v>6.6672057000000002</v>
      </c>
    </row>
    <row r="151" spans="2:3" ht="19.5" customHeight="1">
      <c r="B151" s="125">
        <v>18378.580000000002</v>
      </c>
      <c r="C151" s="112">
        <v>6.7322386999999999</v>
      </c>
    </row>
    <row r="152" spans="2:3" ht="19.5" customHeight="1">
      <c r="B152" s="125">
        <v>18468.060000000001</v>
      </c>
      <c r="C152" s="112">
        <v>6.7666627000000004</v>
      </c>
    </row>
    <row r="153" spans="2:3" ht="19.5" customHeight="1">
      <c r="B153" s="125">
        <v>18647.03</v>
      </c>
      <c r="C153" s="112">
        <v>6.7966917000000002</v>
      </c>
    </row>
    <row r="154" spans="2:3" ht="19.5" customHeight="1">
      <c r="B154" s="125">
        <v>18736.509999999998</v>
      </c>
      <c r="C154" s="112">
        <v>6.8624267000000003</v>
      </c>
    </row>
    <row r="155" spans="2:3" ht="19.5" customHeight="1">
      <c r="B155" s="125">
        <v>18849.63</v>
      </c>
      <c r="C155" s="112">
        <v>6.9020077000000004</v>
      </c>
    </row>
    <row r="156" spans="2:3" ht="19.5" customHeight="1">
      <c r="B156" s="125">
        <v>19011.71</v>
      </c>
      <c r="C156" s="112">
        <v>6.9671016999999997</v>
      </c>
    </row>
    <row r="157" spans="2:3" ht="19.5" customHeight="1">
      <c r="B157" s="125">
        <v>19097.82</v>
      </c>
      <c r="C157" s="112">
        <v>6.9997256999999999</v>
      </c>
    </row>
    <row r="158" spans="2:3" ht="19.5" customHeight="1">
      <c r="B158" s="125">
        <v>19271.72</v>
      </c>
      <c r="C158" s="112">
        <v>7.0322566999999996</v>
      </c>
    </row>
    <row r="159" spans="2:3" ht="19.5" customHeight="1">
      <c r="B159" s="125">
        <v>19357.82</v>
      </c>
      <c r="C159" s="112">
        <v>7.0976257</v>
      </c>
    </row>
    <row r="160" spans="2:3" ht="19.5" customHeight="1">
      <c r="B160" s="125">
        <v>19442.240000000002</v>
      </c>
      <c r="C160" s="112">
        <v>7.1300356999999996</v>
      </c>
    </row>
    <row r="161" spans="2:3" ht="19.5" customHeight="1">
      <c r="B161" s="125">
        <v>19622.89</v>
      </c>
      <c r="C161" s="112">
        <v>7.1953126999999997</v>
      </c>
    </row>
    <row r="162" spans="2:3" ht="19.5" customHeight="1">
      <c r="B162" s="125">
        <v>19695.490000000002</v>
      </c>
      <c r="C162" s="112">
        <v>7.2277217</v>
      </c>
    </row>
    <row r="163" spans="2:3" ht="19.5" customHeight="1">
      <c r="B163" s="125">
        <v>19866.009999999998</v>
      </c>
      <c r="C163" s="112">
        <v>7.2589417000000003</v>
      </c>
    </row>
    <row r="164" spans="2:3" ht="19.5" customHeight="1">
      <c r="B164" s="125">
        <v>19950.43</v>
      </c>
      <c r="C164" s="112">
        <v>7.3253177000000003</v>
      </c>
    </row>
    <row r="165" spans="2:3" ht="19.5" customHeight="1">
      <c r="B165" s="125">
        <v>20034.849999999999</v>
      </c>
      <c r="C165" s="112">
        <v>7.3580937000000004</v>
      </c>
    </row>
    <row r="166" spans="2:3" ht="19.5" customHeight="1">
      <c r="B166" s="125">
        <v>20200.419999999998</v>
      </c>
      <c r="C166" s="112">
        <v>7.4231876999999997</v>
      </c>
    </row>
    <row r="167" spans="2:3" ht="19.5" customHeight="1">
      <c r="B167" s="125">
        <v>20283.21</v>
      </c>
      <c r="C167" s="112">
        <v>7.4538266999999996</v>
      </c>
    </row>
    <row r="168" spans="2:3" ht="19.5" customHeight="1">
      <c r="B168" s="125">
        <v>20443.740000000002</v>
      </c>
      <c r="C168" s="112">
        <v>7.4880977</v>
      </c>
    </row>
    <row r="169" spans="2:3" ht="19.5" customHeight="1">
      <c r="B169" s="125">
        <v>20523.150000000001</v>
      </c>
      <c r="C169" s="112">
        <v>7.5537106999999999</v>
      </c>
    </row>
    <row r="170" spans="2:3" ht="19.5" customHeight="1">
      <c r="B170" s="125">
        <v>20602.57</v>
      </c>
      <c r="C170" s="112">
        <v>7.5860896999999996</v>
      </c>
    </row>
    <row r="171" spans="2:3" ht="19.5" customHeight="1">
      <c r="B171" s="125">
        <v>20763.09</v>
      </c>
      <c r="C171" s="112">
        <v>7.6513666999999996</v>
      </c>
    </row>
    <row r="172" spans="2:3" ht="19.5" customHeight="1">
      <c r="B172" s="125">
        <v>20844.189999999999</v>
      </c>
      <c r="C172" s="112">
        <v>7.6825257000000002</v>
      </c>
    </row>
    <row r="173" spans="2:3" ht="19.5" customHeight="1">
      <c r="B173" s="125">
        <v>21004.720000000001</v>
      </c>
      <c r="C173" s="112">
        <v>7.7152096999999999</v>
      </c>
    </row>
    <row r="174" spans="2:3" ht="19.5" customHeight="1">
      <c r="B174" s="125">
        <v>21082.44</v>
      </c>
      <c r="C174" s="112">
        <v>7.7821046999999997</v>
      </c>
    </row>
    <row r="175" spans="2:3" ht="19.5" customHeight="1">
      <c r="B175" s="125">
        <v>21161.86</v>
      </c>
      <c r="C175" s="112">
        <v>7.8126826999999999</v>
      </c>
    </row>
    <row r="176" spans="2:3" ht="19.5" customHeight="1">
      <c r="B176" s="125">
        <v>21315.62</v>
      </c>
      <c r="C176" s="112">
        <v>7.8779906999999998</v>
      </c>
    </row>
    <row r="177" spans="2:3" ht="19.5" customHeight="1">
      <c r="B177" s="125">
        <v>21391.66</v>
      </c>
      <c r="C177" s="112">
        <v>7.9106136999999999</v>
      </c>
    </row>
    <row r="178" spans="2:3" ht="19.5" customHeight="1">
      <c r="B178" s="125">
        <v>21521.77</v>
      </c>
      <c r="C178" s="112">
        <v>7.9436647000000002</v>
      </c>
    </row>
    <row r="179" spans="2:3" ht="19.5" customHeight="1">
      <c r="B179" s="125">
        <v>18327.93</v>
      </c>
      <c r="C179" s="112">
        <v>8.0078736999999993</v>
      </c>
    </row>
    <row r="180" spans="2:3" ht="19.5" customHeight="1">
      <c r="B180" s="125">
        <v>13739</v>
      </c>
      <c r="C180" s="112">
        <v>8.0415647000000003</v>
      </c>
    </row>
    <row r="181" spans="2:3" ht="19.5" customHeight="1">
      <c r="B181" s="125">
        <v>4471.8149999999996</v>
      </c>
      <c r="C181" s="112">
        <v>8.1060487000000006</v>
      </c>
    </row>
    <row r="182" spans="2:3" ht="19.5" customHeight="1">
      <c r="B182" s="125">
        <v>245.13589999999999</v>
      </c>
      <c r="C182" s="112">
        <v>8.1391597000000004</v>
      </c>
    </row>
    <row r="183" spans="2:3" ht="19.5" customHeight="1">
      <c r="B183" s="125">
        <v>413.4624</v>
      </c>
      <c r="C183" s="112">
        <v>8.1709596999999992</v>
      </c>
    </row>
    <row r="184" spans="2:3" ht="19.5" customHeight="1">
      <c r="B184" s="125">
        <v>418.51220000000001</v>
      </c>
      <c r="C184" s="112">
        <v>8.2367246999999999</v>
      </c>
    </row>
    <row r="185" spans="2:3" ht="19.5" customHeight="1">
      <c r="B185" s="125">
        <v>421.87880000000001</v>
      </c>
      <c r="C185" s="112">
        <v>8.2694086999999996</v>
      </c>
    </row>
    <row r="186" spans="2:3" ht="19.5" customHeight="1">
      <c r="B186" s="125">
        <v>428.61180000000002</v>
      </c>
      <c r="C186" s="112">
        <v>8.3341677000000001</v>
      </c>
    </row>
    <row r="187" spans="2:3" ht="19.5" customHeight="1">
      <c r="B187" s="125">
        <v>431.97829999999999</v>
      </c>
      <c r="C187" s="112">
        <v>8.3669437000000002</v>
      </c>
    </row>
    <row r="188" spans="2:3" ht="19.5" customHeight="1">
      <c r="B188" s="125">
        <v>437.02809999999999</v>
      </c>
      <c r="C188" s="112">
        <v>8.3995057000000006</v>
      </c>
    </row>
    <row r="189" spans="2:3" ht="19.5" customHeight="1">
      <c r="B189" s="125">
        <v>440.3947</v>
      </c>
      <c r="C189" s="112">
        <v>8.4657596999999996</v>
      </c>
    </row>
    <row r="190" spans="2:3" ht="19.5" customHeight="1">
      <c r="B190" s="125">
        <v>442.0779</v>
      </c>
      <c r="C190" s="112">
        <v>8.4974667000000004</v>
      </c>
    </row>
    <row r="191" spans="2:3" ht="19.5" customHeight="1">
      <c r="B191" s="125">
        <v>448.81099999999998</v>
      </c>
      <c r="C191" s="112">
        <v>8.5614927000000005</v>
      </c>
    </row>
    <row r="192" spans="2:3" ht="19.5" customHeight="1">
      <c r="B192" s="125">
        <v>450.49430000000001</v>
      </c>
      <c r="C192" s="112">
        <v>8.5950006999999999</v>
      </c>
    </row>
    <row r="193" spans="2:3" ht="19.5" customHeight="1">
      <c r="B193" s="125">
        <v>455.54410000000001</v>
      </c>
      <c r="C193" s="112">
        <v>8.6286617000000003</v>
      </c>
    </row>
    <row r="194" spans="2:3" ht="19.5" customHeight="1">
      <c r="B194" s="125">
        <v>457.22730000000001</v>
      </c>
      <c r="C194" s="112">
        <v>8.6919246999999995</v>
      </c>
    </row>
    <row r="195" spans="2:3" ht="19.5" customHeight="1">
      <c r="B195" s="125">
        <v>460.59379999999999</v>
      </c>
      <c r="C195" s="112">
        <v>8.7245787000000004</v>
      </c>
    </row>
    <row r="196" spans="2:3" ht="19.5" customHeight="1">
      <c r="B196" s="125">
        <v>465.64359999999999</v>
      </c>
      <c r="C196" s="112">
        <v>8.7897037000000005</v>
      </c>
    </row>
    <row r="197" spans="2:3" ht="19.5" customHeight="1">
      <c r="B197" s="125">
        <v>467.32690000000002</v>
      </c>
      <c r="C197" s="112">
        <v>8.8224797000000006</v>
      </c>
    </row>
    <row r="198" spans="2:3" ht="19.5" customHeight="1">
      <c r="B198" s="125">
        <v>474.06</v>
      </c>
      <c r="C198" s="112">
        <v>8.8550106999999993</v>
      </c>
    </row>
    <row r="199" spans="2:3" ht="19.5" customHeight="1">
      <c r="B199" s="125">
        <v>475.7432</v>
      </c>
      <c r="C199" s="112">
        <v>8.9202577000000005</v>
      </c>
    </row>
    <row r="200" spans="2:3" ht="19.5" customHeight="1">
      <c r="B200" s="125">
        <v>479.10980000000001</v>
      </c>
      <c r="C200" s="112">
        <v>8.9530027000000008</v>
      </c>
    </row>
    <row r="201" spans="2:3" ht="19.5" customHeight="1">
      <c r="B201" s="125">
        <v>484.15960000000001</v>
      </c>
      <c r="C201" s="112">
        <v>9.0181886999999996</v>
      </c>
    </row>
    <row r="202" spans="2:3" ht="19.5" customHeight="1">
      <c r="B202" s="125">
        <v>485.84280000000001</v>
      </c>
      <c r="C202" s="112">
        <v>9.0507507</v>
      </c>
    </row>
    <row r="203" spans="2:3" ht="19.5" customHeight="1">
      <c r="B203" s="125">
        <v>490.89260000000002</v>
      </c>
      <c r="C203" s="112">
        <v>9.0833437000000004</v>
      </c>
    </row>
    <row r="204" spans="2:3" ht="19.5" customHeight="1">
      <c r="B204" s="125">
        <v>494.25909999999999</v>
      </c>
      <c r="C204" s="112">
        <v>9.1479487000000006</v>
      </c>
    </row>
    <row r="205" spans="2:3" ht="19.5" customHeight="1">
      <c r="B205" s="125">
        <v>495.94240000000002</v>
      </c>
      <c r="C205" s="112">
        <v>9.1813047000000001</v>
      </c>
    </row>
    <row r="206" spans="2:3" ht="19.5" customHeight="1">
      <c r="B206" s="125">
        <v>499.30889999999999</v>
      </c>
      <c r="C206" s="112">
        <v>9.2456057000000005</v>
      </c>
    </row>
    <row r="207" spans="2:3" ht="19.5" customHeight="1">
      <c r="B207" s="125">
        <v>502.6755</v>
      </c>
      <c r="C207" s="112">
        <v>9.2768557000000005</v>
      </c>
    </row>
    <row r="208" spans="2:3" ht="19.5" customHeight="1">
      <c r="B208" s="125">
        <v>507.72519999999997</v>
      </c>
      <c r="C208" s="112">
        <v>9.3120426999999992</v>
      </c>
    </row>
    <row r="209" spans="2:3" ht="19.5" customHeight="1">
      <c r="B209" s="125">
        <v>509.4085</v>
      </c>
      <c r="C209" s="112">
        <v>9.3763427000000004</v>
      </c>
    </row>
    <row r="210" spans="2:3" ht="19.5" customHeight="1">
      <c r="B210" s="125">
        <v>512.77509999999995</v>
      </c>
      <c r="C210" s="112">
        <v>9.4085996999999999</v>
      </c>
    </row>
    <row r="211" spans="2:3" ht="19.5" customHeight="1">
      <c r="B211" s="125">
        <v>517.82489999999996</v>
      </c>
      <c r="C211" s="112">
        <v>9.4737857000000005</v>
      </c>
    </row>
    <row r="212" spans="2:3" ht="19.5" customHeight="1">
      <c r="B212" s="125">
        <v>519.50810000000001</v>
      </c>
      <c r="C212" s="112">
        <v>9.5049156999999997</v>
      </c>
    </row>
    <row r="213" spans="2:3" ht="19.5" customHeight="1">
      <c r="B213" s="125">
        <v>526.24120000000005</v>
      </c>
      <c r="C213" s="112">
        <v>9.5388157000000007</v>
      </c>
    </row>
    <row r="214" spans="2:3" ht="19.5" customHeight="1">
      <c r="B214" s="125">
        <v>527.92439999999999</v>
      </c>
      <c r="C214" s="112">
        <v>9.6043056999999994</v>
      </c>
    </row>
    <row r="215" spans="2:3" ht="19.5" customHeight="1">
      <c r="B215" s="125">
        <v>531.29100000000005</v>
      </c>
      <c r="C215" s="112">
        <v>9.6367457000000005</v>
      </c>
    </row>
    <row r="216" spans="2:3" ht="19.5" customHeight="1">
      <c r="B216" s="125">
        <v>536.34079999999994</v>
      </c>
      <c r="C216" s="112">
        <v>9.7024256999999992</v>
      </c>
    </row>
    <row r="217" spans="2:3" ht="19.5" customHeight="1">
      <c r="B217" s="125">
        <v>539.70730000000003</v>
      </c>
      <c r="C217" s="112">
        <v>9.7360556999999996</v>
      </c>
    </row>
    <row r="218" spans="2:3" ht="19.5" customHeight="1">
      <c r="B218" s="125">
        <v>543.07389999999998</v>
      </c>
      <c r="C218" s="112">
        <v>9.7963857000000001</v>
      </c>
    </row>
    <row r="219" spans="2:3" ht="19.5" customHeight="1">
      <c r="B219" s="125">
        <v>546.44039999999995</v>
      </c>
      <c r="C219" s="112">
        <v>9.8291657000000008</v>
      </c>
    </row>
    <row r="220" spans="2:3" ht="19.5" customHeight="1">
      <c r="B220" s="125">
        <v>549.80700000000002</v>
      </c>
      <c r="C220" s="112">
        <v>9.8618456999999999</v>
      </c>
    </row>
    <row r="221" spans="2:3" ht="19.5" customHeight="1">
      <c r="B221" s="125">
        <v>553.17340000000002</v>
      </c>
      <c r="C221" s="112">
        <v>9.9267257000000004</v>
      </c>
    </row>
    <row r="222" spans="2:3" ht="19.5" customHeight="1">
      <c r="B222" s="125">
        <v>556.54</v>
      </c>
      <c r="C222" s="112">
        <v>9.9594757000000005</v>
      </c>
    </row>
    <row r="223" spans="2:3" ht="19.5" customHeight="1">
      <c r="B223" s="125">
        <v>559.90650000000005</v>
      </c>
      <c r="C223" s="112">
        <v>10.0238057</v>
      </c>
    </row>
    <row r="224" spans="2:3" ht="19.5" customHeight="1">
      <c r="B224" s="125">
        <v>563.2731</v>
      </c>
      <c r="C224" s="112">
        <v>10.0574057</v>
      </c>
    </row>
    <row r="225" spans="2:3" ht="19.5" customHeight="1">
      <c r="B225" s="125">
        <v>566.6395</v>
      </c>
      <c r="C225" s="112">
        <v>10.0900257</v>
      </c>
    </row>
    <row r="226" spans="2:3" ht="19.5" customHeight="1">
      <c r="B226" s="125">
        <v>570.00609999999995</v>
      </c>
      <c r="C226" s="112">
        <v>10.158595699999999</v>
      </c>
    </row>
    <row r="227" spans="2:3" ht="19.5" customHeight="1">
      <c r="B227" s="125">
        <v>571.68939999999998</v>
      </c>
      <c r="C227" s="112">
        <v>10.193235700000001</v>
      </c>
    </row>
    <row r="228" spans="2:3" ht="19.5" customHeight="1">
      <c r="B228" s="125">
        <v>575.05589999999995</v>
      </c>
      <c r="C228" s="112">
        <v>10.2258257</v>
      </c>
    </row>
    <row r="229" spans="2:3" ht="19.5" customHeight="1">
      <c r="B229" s="125">
        <v>578.42240000000004</v>
      </c>
      <c r="C229" s="112">
        <v>10.290255699999999</v>
      </c>
    </row>
    <row r="230" spans="2:3" ht="19.5" customHeight="1">
      <c r="B230" s="125">
        <v>581.78899999999999</v>
      </c>
      <c r="C230" s="112">
        <v>10.3247357</v>
      </c>
    </row>
    <row r="231" spans="2:3" ht="19.5" customHeight="1">
      <c r="B231" s="125">
        <v>585.15549999999996</v>
      </c>
      <c r="C231" s="112">
        <v>10.389035700000001</v>
      </c>
    </row>
    <row r="232" spans="2:3" ht="19.5" customHeight="1">
      <c r="B232" s="125">
        <v>588.52200000000005</v>
      </c>
      <c r="C232" s="112">
        <v>10.4214757</v>
      </c>
    </row>
    <row r="233" spans="2:3" ht="19.5" customHeight="1">
      <c r="B233" s="125">
        <v>593.57180000000005</v>
      </c>
      <c r="C233" s="112">
        <v>10.4541957</v>
      </c>
    </row>
    <row r="234" spans="2:3" ht="19.5" customHeight="1">
      <c r="B234" s="125">
        <v>595.25509999999997</v>
      </c>
      <c r="C234" s="112">
        <v>10.5186157</v>
      </c>
    </row>
    <row r="235" spans="2:3" ht="19.5" customHeight="1">
      <c r="B235" s="125">
        <v>596.9384</v>
      </c>
      <c r="C235" s="112">
        <v>10.5521557</v>
      </c>
    </row>
    <row r="236" spans="2:3" ht="19.5" customHeight="1">
      <c r="B236" s="125">
        <v>603.67139999999995</v>
      </c>
      <c r="C236" s="112">
        <v>10.588255699999999</v>
      </c>
    </row>
    <row r="237" spans="2:3" ht="19.5" customHeight="1">
      <c r="B237" s="125">
        <v>605.35469999999998</v>
      </c>
      <c r="C237" s="112">
        <v>10.6553957</v>
      </c>
    </row>
    <row r="238" spans="2:3" ht="19.5" customHeight="1">
      <c r="B238" s="125">
        <v>607.03790000000004</v>
      </c>
      <c r="C238" s="112">
        <v>10.6885657</v>
      </c>
    </row>
    <row r="239" spans="2:3" ht="19.5" customHeight="1">
      <c r="B239" s="125">
        <v>612.08770000000004</v>
      </c>
      <c r="C239" s="112">
        <v>10.754885700000001</v>
      </c>
    </row>
    <row r="240" spans="2:3" ht="19.5" customHeight="1">
      <c r="B240" s="125">
        <v>613.77099999999996</v>
      </c>
      <c r="C240" s="112">
        <v>10.785675700000001</v>
      </c>
    </row>
    <row r="241" spans="2:3" ht="19.5" customHeight="1">
      <c r="B241" s="125">
        <v>618.82079999999996</v>
      </c>
      <c r="C241" s="112">
        <v>10.818845700000001</v>
      </c>
    </row>
    <row r="242" spans="2:3" ht="19.5" customHeight="1">
      <c r="B242" s="125">
        <v>622.18730000000005</v>
      </c>
      <c r="C242" s="112">
        <v>10.8836657</v>
      </c>
    </row>
    <row r="243" spans="2:3" ht="19.5" customHeight="1">
      <c r="B243" s="125">
        <v>623.87059999999997</v>
      </c>
      <c r="C243" s="112">
        <v>10.9176357</v>
      </c>
    </row>
    <row r="244" spans="2:3" ht="19.5" customHeight="1">
      <c r="B244" s="125">
        <v>627.23710000000005</v>
      </c>
      <c r="C244" s="112">
        <v>10.9812057</v>
      </c>
    </row>
    <row r="245" spans="2:3" ht="19.5" customHeight="1">
      <c r="B245" s="125">
        <v>630.6037</v>
      </c>
      <c r="C245" s="112">
        <v>11.0138257</v>
      </c>
    </row>
    <row r="246" spans="2:3" ht="19.5" customHeight="1">
      <c r="B246" s="125">
        <v>635.65340000000003</v>
      </c>
      <c r="C246" s="112">
        <v>11.0466657</v>
      </c>
    </row>
    <row r="247" spans="2:3" ht="19.5" customHeight="1">
      <c r="B247" s="125">
        <v>639.02</v>
      </c>
      <c r="C247" s="112">
        <v>11.1117857</v>
      </c>
    </row>
    <row r="248" spans="2:3" ht="19.5" customHeight="1">
      <c r="B248" s="125">
        <v>640.70320000000004</v>
      </c>
      <c r="C248" s="112">
        <v>11.1439257</v>
      </c>
    </row>
    <row r="249" spans="2:3" ht="19.5" customHeight="1">
      <c r="B249" s="125">
        <v>644.06979999999999</v>
      </c>
      <c r="C249" s="112">
        <v>11.209505699999999</v>
      </c>
    </row>
    <row r="250" spans="2:3" ht="19.5" customHeight="1">
      <c r="B250" s="125">
        <v>647.43629999999996</v>
      </c>
      <c r="C250" s="112">
        <v>11.241885699999999</v>
      </c>
    </row>
    <row r="251" spans="2:3" ht="19.5" customHeight="1">
      <c r="B251" s="125">
        <v>652.48609999999996</v>
      </c>
      <c r="C251" s="112">
        <v>11.2743257</v>
      </c>
    </row>
    <row r="252" spans="2:3" ht="19.5" customHeight="1">
      <c r="B252" s="125">
        <v>654.16930000000002</v>
      </c>
      <c r="C252" s="112">
        <v>11.338685699999999</v>
      </c>
    </row>
    <row r="253" spans="2:3" ht="19.5" customHeight="1">
      <c r="B253" s="125">
        <v>657.53589999999997</v>
      </c>
      <c r="C253" s="112">
        <v>11.375245700000001</v>
      </c>
    </row>
    <row r="254" spans="2:3" ht="19.5" customHeight="1">
      <c r="B254" s="125">
        <v>654.16930000000002</v>
      </c>
      <c r="C254" s="112">
        <v>11.412965700000001</v>
      </c>
    </row>
    <row r="255" spans="2:3" ht="19.5" customHeight="1">
      <c r="B255" s="125"/>
      <c r="C255" s="112"/>
    </row>
    <row r="256" spans="2:3" ht="19.5" customHeight="1">
      <c r="B256" s="125"/>
      <c r="C256" s="112"/>
    </row>
    <row r="257" spans="2:3" ht="19.5" customHeight="1">
      <c r="B257" s="125"/>
      <c r="C257" s="112"/>
    </row>
    <row r="258" spans="2:3" ht="19.5" customHeight="1">
      <c r="B258" s="125"/>
      <c r="C258" s="112"/>
    </row>
    <row r="259" spans="2:3" ht="19.5" customHeight="1">
      <c r="B259" s="125"/>
      <c r="C259" s="112"/>
    </row>
    <row r="260" spans="2:3" ht="19.5" customHeight="1">
      <c r="B260" s="125"/>
      <c r="C260" s="112"/>
    </row>
    <row r="261" spans="2:3" ht="19.5" customHeight="1">
      <c r="B261" s="125"/>
      <c r="C261" s="112"/>
    </row>
    <row r="262" spans="2:3" ht="19.5" customHeight="1">
      <c r="B262" s="125"/>
      <c r="C262" s="112"/>
    </row>
    <row r="263" spans="2:3" ht="19.5" customHeight="1">
      <c r="B263" s="125"/>
      <c r="C263" s="112"/>
    </row>
    <row r="264" spans="2:3" ht="19.5" customHeight="1">
      <c r="B264" s="125"/>
      <c r="C264" s="112"/>
    </row>
    <row r="265" spans="2:3" ht="19.5" customHeight="1">
      <c r="B265" s="125"/>
      <c r="C265" s="112"/>
    </row>
    <row r="266" spans="2:3" ht="19.5" customHeight="1">
      <c r="B266" s="125"/>
      <c r="C266" s="112"/>
    </row>
    <row r="267" spans="2:3" ht="19.5" customHeight="1">
      <c r="B267" s="125"/>
      <c r="C267" s="112"/>
    </row>
    <row r="268" spans="2:3" ht="19.5" customHeight="1">
      <c r="B268" s="125"/>
      <c r="C268" s="112"/>
    </row>
    <row r="269" spans="2:3" ht="19.5" customHeight="1">
      <c r="B269" s="125"/>
      <c r="C269" s="112"/>
    </row>
    <row r="270" spans="2:3" ht="19.5" customHeight="1">
      <c r="B270" s="125"/>
      <c r="C270" s="112"/>
    </row>
    <row r="271" spans="2:3" ht="19.5" customHeight="1">
      <c r="B271" s="125"/>
      <c r="C271" s="112"/>
    </row>
    <row r="272" spans="2:3" ht="19.5" customHeight="1">
      <c r="B272" s="125"/>
      <c r="C272" s="112"/>
    </row>
    <row r="273" spans="2:3" ht="19.5" customHeight="1">
      <c r="B273" s="125"/>
      <c r="C273" s="112"/>
    </row>
    <row r="274" spans="2:3" ht="19.5" customHeight="1">
      <c r="B274" s="125"/>
      <c r="C274" s="112"/>
    </row>
    <row r="275" spans="2:3" ht="19.5" customHeight="1">
      <c r="B275" s="125"/>
      <c r="C275" s="112"/>
    </row>
    <row r="276" spans="2:3" ht="19.5" customHeight="1">
      <c r="B276" s="125"/>
      <c r="C276" s="112"/>
    </row>
    <row r="277" spans="2:3" ht="19.5" customHeight="1">
      <c r="B277" s="125"/>
      <c r="C277" s="112"/>
    </row>
    <row r="278" spans="2:3" ht="19.5" customHeight="1">
      <c r="B278" s="125"/>
      <c r="C278" s="112"/>
    </row>
    <row r="279" spans="2:3" ht="19.5" customHeight="1">
      <c r="B279" s="125"/>
      <c r="C279" s="112"/>
    </row>
    <row r="280" spans="2:3" ht="19.5" customHeight="1">
      <c r="B280" s="125"/>
      <c r="C280" s="112"/>
    </row>
    <row r="281" spans="2:3" ht="19.5" customHeight="1">
      <c r="B281" s="125"/>
      <c r="C281" s="112"/>
    </row>
    <row r="282" spans="2:3" ht="19.5" customHeight="1">
      <c r="B282" s="125"/>
      <c r="C282" s="112"/>
    </row>
    <row r="283" spans="2:3" ht="19.5" customHeight="1">
      <c r="B283" s="125"/>
      <c r="C283" s="112"/>
    </row>
    <row r="284" spans="2:3" ht="19.5" customHeight="1">
      <c r="B284" s="125"/>
      <c r="C284" s="112"/>
    </row>
    <row r="285" spans="2:3" ht="19.5" customHeight="1">
      <c r="B285" s="125"/>
      <c r="C285" s="112"/>
    </row>
    <row r="286" spans="2:3" ht="19.5" customHeight="1">
      <c r="B286" s="125"/>
      <c r="C286" s="112"/>
    </row>
    <row r="287" spans="2:3" ht="19.5" customHeight="1">
      <c r="B287" s="125"/>
      <c r="C287" s="112"/>
    </row>
    <row r="288" spans="2:3" ht="19.5" customHeight="1">
      <c r="B288" s="125"/>
      <c r="C288" s="112"/>
    </row>
    <row r="289" spans="2:3" ht="19.5" customHeight="1">
      <c r="B289" s="125"/>
      <c r="C289" s="112"/>
    </row>
    <row r="290" spans="2:3" ht="19.5" customHeight="1">
      <c r="B290" s="125"/>
      <c r="C290" s="112"/>
    </row>
    <row r="291" spans="2:3" ht="19.5" customHeight="1">
      <c r="B291" s="125"/>
      <c r="C291" s="112"/>
    </row>
    <row r="292" spans="2:3" ht="19.5" customHeight="1">
      <c r="B292" s="125"/>
      <c r="C292" s="112"/>
    </row>
    <row r="293" spans="2:3" ht="19.5" customHeight="1">
      <c r="B293" s="125"/>
      <c r="C293" s="112"/>
    </row>
    <row r="294" spans="2:3" ht="19.5" customHeight="1">
      <c r="B294" s="125"/>
      <c r="C294" s="112"/>
    </row>
    <row r="295" spans="2:3" ht="19.5" customHeight="1">
      <c r="B295" s="125"/>
      <c r="C295" s="112"/>
    </row>
    <row r="296" spans="2:3" ht="19.5" customHeight="1">
      <c r="B296" s="125"/>
      <c r="C296" s="112"/>
    </row>
    <row r="297" spans="2:3" ht="19.5" customHeight="1">
      <c r="B297" s="125"/>
      <c r="C297" s="112"/>
    </row>
    <row r="298" spans="2:3" ht="19.5" customHeight="1">
      <c r="B298" s="125"/>
      <c r="C298" s="112"/>
    </row>
    <row r="299" spans="2:3" ht="19.5" customHeight="1">
      <c r="B299" s="125"/>
      <c r="C299" s="112"/>
    </row>
    <row r="300" spans="2:3" ht="19.5" customHeight="1">
      <c r="B300" s="125"/>
      <c r="C300" s="112"/>
    </row>
    <row r="301" spans="2:3" ht="19.5" customHeight="1">
      <c r="B301" s="125"/>
      <c r="C301" s="112"/>
    </row>
  </sheetData>
  <autoFilter ref="F5:L5" xr:uid="{CB3F3F2B-8A7E-4E9A-A1C9-9433706F055B}">
    <sortState xmlns:xlrd2="http://schemas.microsoft.com/office/spreadsheetml/2017/richdata2" ref="F6:L98">
      <sortCondition descending="1" ref="L5"/>
    </sortState>
  </autoFilter>
  <mergeCells count="3">
    <mergeCell ref="F4:G4"/>
    <mergeCell ref="H3:L3"/>
    <mergeCell ref="H4:K4"/>
  </mergeCells>
  <conditionalFormatting sqref="L6:L9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16CA-E179-4A59-8697-87F2178F1FCE}">
  <dimension ref="B1:W500"/>
  <sheetViews>
    <sheetView topLeftCell="G1" zoomScale="70" zoomScaleNormal="70" workbookViewId="0">
      <selection activeCell="O25" sqref="O25"/>
    </sheetView>
  </sheetViews>
  <sheetFormatPr defaultColWidth="15.5703125" defaultRowHeight="19.5" customHeight="1"/>
  <cols>
    <col min="1" max="1" width="5.5703125" style="91" customWidth="1"/>
    <col min="2" max="2" width="18.28515625" style="109" customWidth="1"/>
    <col min="3" max="3" width="20.5703125" style="108" hidden="1" customWidth="1"/>
    <col min="4" max="4" width="24.85546875" style="108" hidden="1" customWidth="1"/>
    <col min="5" max="5" width="20.140625" style="108" hidden="1" customWidth="1"/>
    <col min="6" max="6" width="25.7109375" style="108" customWidth="1"/>
    <col min="7" max="7" width="43.28515625" style="127" customWidth="1"/>
    <col min="8" max="9" width="15.5703125" style="118" customWidth="1"/>
    <col min="10" max="13" width="15.5703125" style="115" customWidth="1"/>
    <col min="14" max="15" width="20.7109375" style="115" customWidth="1"/>
    <col min="16" max="16" width="20.5703125" style="183" customWidth="1"/>
    <col min="17" max="17" width="15.5703125" style="128"/>
    <col min="18" max="21" width="15.5703125" style="189"/>
    <col min="22" max="22" width="15.5703125" style="186"/>
    <col min="23" max="23" width="87.7109375" style="108" customWidth="1"/>
    <col min="24" max="16384" width="15.5703125" style="91"/>
  </cols>
  <sheetData>
    <row r="1" spans="2:23" ht="9.75" customHeight="1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15"/>
      <c r="Q1" s="15"/>
      <c r="R1" s="15"/>
      <c r="S1" s="15"/>
      <c r="T1" s="15"/>
      <c r="U1" s="15"/>
      <c r="V1" s="15"/>
      <c r="W1" s="15"/>
    </row>
    <row r="2" spans="2:23" ht="19.5" customHeight="1">
      <c r="B2" s="202" t="s">
        <v>17</v>
      </c>
      <c r="C2" s="202"/>
      <c r="D2" s="202"/>
      <c r="E2" s="202"/>
      <c r="F2" s="202"/>
      <c r="G2" s="202"/>
      <c r="H2" s="154"/>
      <c r="I2" s="154"/>
      <c r="J2" s="154"/>
      <c r="K2" s="154"/>
      <c r="L2" s="154"/>
      <c r="M2" s="154"/>
      <c r="N2" s="154"/>
      <c r="O2" s="154"/>
      <c r="P2" s="15"/>
      <c r="Q2" s="15"/>
      <c r="R2" s="15"/>
      <c r="S2" s="15"/>
      <c r="T2" s="15"/>
      <c r="U2" s="15"/>
      <c r="V2" s="15"/>
      <c r="W2" s="15"/>
    </row>
    <row r="3" spans="2:23" ht="9.75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5"/>
      <c r="Q3" s="15"/>
      <c r="R3" s="15"/>
      <c r="S3" s="15"/>
      <c r="T3" s="15"/>
      <c r="U3" s="15"/>
      <c r="V3" s="15"/>
      <c r="W3" s="15"/>
    </row>
    <row r="4" spans="2:23" ht="19.5" customHeight="1">
      <c r="B4" s="199" t="s">
        <v>18</v>
      </c>
      <c r="C4" s="200"/>
      <c r="D4" s="200"/>
      <c r="E4" s="200"/>
      <c r="F4" s="200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155"/>
    </row>
    <row r="5" spans="2:23" ht="19.5" customHeight="1">
      <c r="B5" s="68" t="s">
        <v>19</v>
      </c>
      <c r="C5" s="141" t="s">
        <v>20</v>
      </c>
      <c r="D5" s="141" t="s">
        <v>21</v>
      </c>
      <c r="E5" s="141" t="s">
        <v>22</v>
      </c>
      <c r="F5" s="141" t="s">
        <v>23</v>
      </c>
      <c r="G5" s="142" t="s">
        <v>24</v>
      </c>
      <c r="H5" s="142" t="s">
        <v>25</v>
      </c>
      <c r="I5" s="142" t="s">
        <v>26</v>
      </c>
      <c r="J5" s="142" t="s">
        <v>27</v>
      </c>
      <c r="K5" s="142" t="s">
        <v>28</v>
      </c>
      <c r="L5" s="142" t="s">
        <v>29</v>
      </c>
      <c r="M5" s="142" t="s">
        <v>30</v>
      </c>
      <c r="N5" s="142" t="s">
        <v>31</v>
      </c>
      <c r="O5" s="142" t="s">
        <v>32</v>
      </c>
      <c r="P5" s="96" t="s">
        <v>33</v>
      </c>
      <c r="Q5" s="142" t="s">
        <v>34</v>
      </c>
      <c r="R5" s="57" t="s">
        <v>35</v>
      </c>
      <c r="S5" s="96" t="s">
        <v>36</v>
      </c>
      <c r="T5" s="142" t="s">
        <v>37</v>
      </c>
      <c r="U5" s="96" t="s">
        <v>38</v>
      </c>
      <c r="V5" s="142" t="s">
        <v>39</v>
      </c>
      <c r="W5" s="129" t="s">
        <v>40</v>
      </c>
    </row>
    <row r="6" spans="2:23" ht="19.5" customHeight="1">
      <c r="B6" s="139" t="s">
        <v>41</v>
      </c>
      <c r="C6" s="44"/>
      <c r="D6" s="44"/>
      <c r="E6" s="44" t="s">
        <v>42</v>
      </c>
      <c r="F6" s="44" t="s">
        <v>43</v>
      </c>
      <c r="G6" s="124" t="s">
        <v>43</v>
      </c>
      <c r="H6" s="156"/>
      <c r="I6" s="156"/>
      <c r="J6" s="124"/>
      <c r="K6" s="124"/>
      <c r="L6" s="124"/>
      <c r="M6" s="124"/>
      <c r="N6" s="124"/>
      <c r="O6" s="124"/>
      <c r="P6" s="36"/>
      <c r="Q6" s="187"/>
      <c r="R6" s="190"/>
      <c r="S6" s="190"/>
      <c r="T6" s="190"/>
      <c r="U6" s="190"/>
      <c r="V6" s="191"/>
      <c r="W6" s="45"/>
    </row>
    <row r="7" spans="2:23" ht="19.5" customHeight="1">
      <c r="B7" s="112" t="s">
        <v>44</v>
      </c>
      <c r="C7" s="45" t="s">
        <v>45</v>
      </c>
      <c r="D7" s="45">
        <v>20</v>
      </c>
      <c r="E7" s="45" t="s">
        <v>42</v>
      </c>
      <c r="F7" s="45">
        <v>1350</v>
      </c>
      <c r="G7" s="99" t="s">
        <v>46</v>
      </c>
      <c r="H7" s="158">
        <v>2.0154420000000002</v>
      </c>
      <c r="I7" s="158">
        <v>3.024994</v>
      </c>
      <c r="J7" s="125">
        <v>6791.268</v>
      </c>
      <c r="K7" s="125">
        <v>11403.96</v>
      </c>
      <c r="L7" s="125">
        <v>17831.5</v>
      </c>
      <c r="M7" s="149">
        <f>IFERROR((K7-J7)/(I7-H7),"-")</f>
        <v>4569.0484492131163</v>
      </c>
      <c r="N7" s="158" t="s">
        <v>47</v>
      </c>
      <c r="O7" s="158" t="s">
        <v>47</v>
      </c>
      <c r="P7" s="38" t="s">
        <v>48</v>
      </c>
      <c r="Q7" s="157">
        <v>1.5860000000000001</v>
      </c>
      <c r="R7" s="181">
        <v>1.8620000000000001</v>
      </c>
      <c r="S7" s="181">
        <v>1.171</v>
      </c>
      <c r="T7" s="181">
        <v>0.80200000000000005</v>
      </c>
      <c r="U7" s="181">
        <v>2.0510000000000002</v>
      </c>
      <c r="V7" s="184">
        <v>0.96699999999999997</v>
      </c>
      <c r="W7" s="45" t="s">
        <v>49</v>
      </c>
    </row>
    <row r="8" spans="2:23" ht="19.5" customHeight="1">
      <c r="B8" s="112" t="s">
        <v>50</v>
      </c>
      <c r="C8" s="45" t="s">
        <v>45</v>
      </c>
      <c r="D8" s="45">
        <v>20</v>
      </c>
      <c r="E8" s="45" t="s">
        <v>42</v>
      </c>
      <c r="F8" s="45">
        <v>1318</v>
      </c>
      <c r="G8" s="99" t="s">
        <v>51</v>
      </c>
      <c r="H8" s="158">
        <v>2.4876399999999999</v>
      </c>
      <c r="I8" s="158">
        <v>3.528991</v>
      </c>
      <c r="J8" s="125">
        <v>8782.8529999999992</v>
      </c>
      <c r="K8" s="125">
        <v>13646.07</v>
      </c>
      <c r="L8" s="125">
        <v>18447.73</v>
      </c>
      <c r="M8" s="149">
        <f>IFERROR((K8-J8)/(I8-H8),"-")</f>
        <v>4670.1035481792405</v>
      </c>
      <c r="N8" s="158" t="s">
        <v>47</v>
      </c>
      <c r="O8" s="158" t="s">
        <v>47</v>
      </c>
      <c r="P8" s="38" t="s">
        <v>48</v>
      </c>
      <c r="Q8" s="157">
        <v>1.621</v>
      </c>
      <c r="R8" s="181">
        <v>1.903</v>
      </c>
      <c r="S8" s="181">
        <v>1.196</v>
      </c>
      <c r="T8" s="181">
        <v>0.81899999999999995</v>
      </c>
      <c r="U8" s="181">
        <v>2.097</v>
      </c>
      <c r="V8" s="184">
        <v>0.98899999999999999</v>
      </c>
      <c r="W8" s="45" t="s">
        <v>49</v>
      </c>
    </row>
    <row r="9" spans="2:23" ht="19.5" customHeight="1">
      <c r="B9" s="112" t="s">
        <v>52</v>
      </c>
      <c r="C9" s="45" t="s">
        <v>45</v>
      </c>
      <c r="D9" s="45">
        <v>20</v>
      </c>
      <c r="E9" s="45" t="s">
        <v>42</v>
      </c>
      <c r="F9" s="45">
        <v>1779</v>
      </c>
      <c r="G9" s="99" t="s">
        <v>53</v>
      </c>
      <c r="H9" s="158">
        <v>2.025207</v>
      </c>
      <c r="I9" s="158">
        <v>3.0339049999999999</v>
      </c>
      <c r="J9" s="125">
        <v>6890.6710000000003</v>
      </c>
      <c r="K9" s="125">
        <v>12557.1</v>
      </c>
      <c r="L9" s="125">
        <v>22630.17</v>
      </c>
      <c r="M9" s="149">
        <f>IFERROR((K9-J9)/(I9-H9),"-")</f>
        <v>5617.5673987655382</v>
      </c>
      <c r="N9" s="158" t="s">
        <v>47</v>
      </c>
      <c r="O9" s="158" t="s">
        <v>47</v>
      </c>
      <c r="P9" s="38" t="s">
        <v>48</v>
      </c>
      <c r="Q9" s="157">
        <v>1.95</v>
      </c>
      <c r="R9" s="181">
        <v>2.2890000000000001</v>
      </c>
      <c r="S9" s="181">
        <v>1.4390000000000001</v>
      </c>
      <c r="T9" s="181">
        <v>0.98599999999999999</v>
      </c>
      <c r="U9" s="181">
        <v>2.5219999999999998</v>
      </c>
      <c r="V9" s="184">
        <v>1.1890000000000001</v>
      </c>
      <c r="W9" s="45" t="s">
        <v>49</v>
      </c>
    </row>
    <row r="10" spans="2:23" ht="19.5" customHeight="1">
      <c r="B10" s="112" t="s">
        <v>54</v>
      </c>
      <c r="C10" s="45" t="s">
        <v>45</v>
      </c>
      <c r="D10" s="45">
        <v>20</v>
      </c>
      <c r="E10" s="45" t="s">
        <v>42</v>
      </c>
      <c r="F10" s="45">
        <v>1162</v>
      </c>
      <c r="G10" s="99" t="s">
        <v>55</v>
      </c>
      <c r="H10" s="158">
        <v>2.7379150000000001</v>
      </c>
      <c r="I10" s="158">
        <v>3.786896</v>
      </c>
      <c r="J10" s="125">
        <v>9434.9130000000005</v>
      </c>
      <c r="K10" s="125">
        <v>14291</v>
      </c>
      <c r="L10" s="125">
        <v>24654.41</v>
      </c>
      <c r="M10" s="149">
        <f>IFERROR((K10-J10)/(I10-H10),"-")</f>
        <v>4629.3374236520967</v>
      </c>
      <c r="N10" s="158" t="s">
        <v>47</v>
      </c>
      <c r="O10" s="158" t="s">
        <v>47</v>
      </c>
      <c r="P10" s="38" t="s">
        <v>48</v>
      </c>
      <c r="Q10" s="157">
        <v>1.607</v>
      </c>
      <c r="R10" s="181">
        <v>1.8859999999999999</v>
      </c>
      <c r="S10" s="181">
        <v>1.1859999999999999</v>
      </c>
      <c r="T10" s="181">
        <v>0.81200000000000006</v>
      </c>
      <c r="U10" s="181">
        <v>2.0779999999999998</v>
      </c>
      <c r="V10" s="184">
        <v>0.98</v>
      </c>
      <c r="W10" s="45" t="s">
        <v>56</v>
      </c>
    </row>
    <row r="11" spans="2:23" ht="19.5" customHeight="1">
      <c r="B11" s="112" t="s">
        <v>57</v>
      </c>
      <c r="C11" s="45" t="s">
        <v>45</v>
      </c>
      <c r="D11" s="45">
        <v>20</v>
      </c>
      <c r="E11" s="45" t="s">
        <v>42</v>
      </c>
      <c r="F11" s="45">
        <v>1162</v>
      </c>
      <c r="G11" s="99" t="s">
        <v>55</v>
      </c>
      <c r="H11" s="158">
        <v>2.7379150000000001</v>
      </c>
      <c r="I11" s="158">
        <v>3.786896</v>
      </c>
      <c r="J11" s="147">
        <v>9906.6586499999994</v>
      </c>
      <c r="K11" s="147">
        <v>15005.55</v>
      </c>
      <c r="L11" s="149">
        <v>25887.130499999999</v>
      </c>
      <c r="M11" s="149">
        <f>IFERROR((K11-J11)/(I11-H11),"-")</f>
        <v>4860.804294834702</v>
      </c>
      <c r="N11" s="125"/>
      <c r="O11" s="125"/>
      <c r="P11" s="38"/>
      <c r="Q11" s="157">
        <v>1.6870000000000001</v>
      </c>
      <c r="R11" s="181">
        <v>1.98</v>
      </c>
      <c r="S11" s="181">
        <v>1.2450000000000001</v>
      </c>
      <c r="T11" s="181">
        <v>0.85299999999999998</v>
      </c>
      <c r="U11" s="181">
        <v>2.1819999999999999</v>
      </c>
      <c r="V11" s="184">
        <v>1.0289999999999999</v>
      </c>
      <c r="W11" s="45" t="s">
        <v>58</v>
      </c>
    </row>
    <row r="12" spans="2:23" ht="19.5" customHeight="1">
      <c r="B12" s="112" t="s">
        <v>59</v>
      </c>
      <c r="C12" s="45" t="s">
        <v>45</v>
      </c>
      <c r="D12" s="45">
        <v>20</v>
      </c>
      <c r="E12" s="45" t="s">
        <v>42</v>
      </c>
      <c r="F12" s="45">
        <v>1073</v>
      </c>
      <c r="G12" s="99" t="s">
        <v>60</v>
      </c>
      <c r="H12" s="158">
        <v>4.0146179999999996</v>
      </c>
      <c r="I12" s="158">
        <v>5.5132750000000001</v>
      </c>
      <c r="J12" s="125">
        <v>12604.12</v>
      </c>
      <c r="K12" s="125">
        <v>18785.16</v>
      </c>
      <c r="L12" s="125">
        <v>21088.959999999999</v>
      </c>
      <c r="M12" s="149">
        <f>IFERROR((K12-J12)/(I12-H12),"-")</f>
        <v>4124.3860336287735</v>
      </c>
      <c r="N12" s="158" t="s">
        <v>47</v>
      </c>
      <c r="O12" s="158" t="s">
        <v>47</v>
      </c>
      <c r="P12" s="38" t="s">
        <v>48</v>
      </c>
      <c r="Q12" s="157">
        <v>1.431</v>
      </c>
      <c r="R12" s="181">
        <v>1.68</v>
      </c>
      <c r="S12" s="181">
        <v>1.0569999999999999</v>
      </c>
      <c r="T12" s="181">
        <v>0.72399999999999998</v>
      </c>
      <c r="U12" s="181">
        <v>1.8520000000000001</v>
      </c>
      <c r="V12" s="184">
        <v>0.873</v>
      </c>
      <c r="W12" s="45" t="s">
        <v>61</v>
      </c>
    </row>
    <row r="13" spans="2:23" ht="19.5" customHeight="1">
      <c r="B13" s="112" t="s">
        <v>62</v>
      </c>
      <c r="C13" s="45" t="s">
        <v>45</v>
      </c>
      <c r="D13" s="45">
        <v>20</v>
      </c>
      <c r="E13" s="45" t="s">
        <v>42</v>
      </c>
      <c r="F13" s="45">
        <v>868</v>
      </c>
      <c r="G13" s="99" t="s">
        <v>63</v>
      </c>
      <c r="H13" s="158">
        <v>2.0251769999999998</v>
      </c>
      <c r="I13" s="158">
        <v>3.5096430000000001</v>
      </c>
      <c r="J13" s="125">
        <v>6160.3130000000001</v>
      </c>
      <c r="K13" s="125">
        <v>11511.62</v>
      </c>
      <c r="L13" s="125">
        <v>20742.53</v>
      </c>
      <c r="M13" s="149">
        <f>IFERROR((K13-J13)/(I13-H13),"-")</f>
        <v>3604.8700340728583</v>
      </c>
      <c r="N13" s="158" t="s">
        <v>47</v>
      </c>
      <c r="O13" s="158" t="s">
        <v>47</v>
      </c>
      <c r="P13" s="38" t="s">
        <v>48</v>
      </c>
      <c r="Q13" s="157">
        <v>1.2509999999999999</v>
      </c>
      <c r="R13" s="181">
        <v>1.4690000000000001</v>
      </c>
      <c r="S13" s="181">
        <v>0.92400000000000004</v>
      </c>
      <c r="T13" s="181">
        <v>0.63200000000000001</v>
      </c>
      <c r="U13" s="181">
        <v>1.6180000000000001</v>
      </c>
      <c r="V13" s="184">
        <v>0.76300000000000001</v>
      </c>
      <c r="W13" s="45" t="s">
        <v>61</v>
      </c>
    </row>
    <row r="14" spans="2:23" ht="19.5" customHeight="1">
      <c r="B14" s="112" t="s">
        <v>64</v>
      </c>
      <c r="C14" s="45" t="s">
        <v>65</v>
      </c>
      <c r="D14" s="45">
        <v>9.5</v>
      </c>
      <c r="E14" s="45" t="s">
        <v>66</v>
      </c>
      <c r="F14" s="45" t="s">
        <v>67</v>
      </c>
      <c r="G14" s="99" t="s">
        <v>46</v>
      </c>
      <c r="H14" s="158" t="s">
        <v>47</v>
      </c>
      <c r="I14" s="158" t="s">
        <v>47</v>
      </c>
      <c r="J14" s="158" t="s">
        <v>47</v>
      </c>
      <c r="K14" s="158" t="s">
        <v>47</v>
      </c>
      <c r="L14" s="158" t="s">
        <v>47</v>
      </c>
      <c r="M14" s="149" t="str">
        <f>IFERROR((K14-J14)/(I14-H14),"-")</f>
        <v>-</v>
      </c>
      <c r="N14" s="149">
        <v>24302.97</v>
      </c>
      <c r="O14" s="149">
        <v>24091.759999999998</v>
      </c>
      <c r="P14" s="38">
        <v>0.755</v>
      </c>
      <c r="Q14" s="125" t="s">
        <v>48</v>
      </c>
      <c r="R14" s="8" t="s">
        <v>48</v>
      </c>
      <c r="S14" s="8" t="s">
        <v>48</v>
      </c>
      <c r="T14" s="8" t="s">
        <v>48</v>
      </c>
      <c r="U14" s="8" t="s">
        <v>48</v>
      </c>
      <c r="V14" s="45" t="s">
        <v>48</v>
      </c>
      <c r="W14" s="45" t="s">
        <v>56</v>
      </c>
    </row>
    <row r="15" spans="2:23" ht="19.5" customHeight="1">
      <c r="B15" s="112" t="s">
        <v>68</v>
      </c>
      <c r="C15" s="45" t="s">
        <v>65</v>
      </c>
      <c r="D15" s="45">
        <v>9.5</v>
      </c>
      <c r="E15" s="45" t="s">
        <v>66</v>
      </c>
      <c r="F15" s="45" t="s">
        <v>69</v>
      </c>
      <c r="G15" s="99" t="s">
        <v>70</v>
      </c>
      <c r="H15" s="158" t="s">
        <v>47</v>
      </c>
      <c r="I15" s="158" t="s">
        <v>47</v>
      </c>
      <c r="J15" s="158" t="s">
        <v>47</v>
      </c>
      <c r="K15" s="158" t="s">
        <v>47</v>
      </c>
      <c r="L15" s="158" t="s">
        <v>47</v>
      </c>
      <c r="M15" s="149" t="str">
        <f>IFERROR((K15-J15)/(I15-H15),"-")</f>
        <v>-</v>
      </c>
      <c r="N15" s="149">
        <v>25250.84</v>
      </c>
      <c r="O15" s="149">
        <v>20445.32</v>
      </c>
      <c r="P15" s="38">
        <v>0.64100000000000001</v>
      </c>
      <c r="Q15" s="125" t="s">
        <v>48</v>
      </c>
      <c r="R15" s="8" t="s">
        <v>48</v>
      </c>
      <c r="S15" s="8" t="s">
        <v>48</v>
      </c>
      <c r="T15" s="8" t="s">
        <v>48</v>
      </c>
      <c r="U15" s="8" t="s">
        <v>48</v>
      </c>
      <c r="V15" s="45" t="s">
        <v>48</v>
      </c>
      <c r="W15" s="45" t="s">
        <v>56</v>
      </c>
    </row>
    <row r="16" spans="2:23" ht="19.5" customHeight="1">
      <c r="B16" s="112" t="s">
        <v>71</v>
      </c>
      <c r="C16" s="45" t="s">
        <v>65</v>
      </c>
      <c r="D16" s="45">
        <v>9.5</v>
      </c>
      <c r="E16" s="45" t="s">
        <v>42</v>
      </c>
      <c r="F16" s="45">
        <v>1813</v>
      </c>
      <c r="G16" s="99" t="s">
        <v>72</v>
      </c>
      <c r="H16" s="158">
        <v>1.9933160000000001</v>
      </c>
      <c r="I16" s="158">
        <v>3.0451350000000001</v>
      </c>
      <c r="J16" s="125">
        <v>3037.7510000000002</v>
      </c>
      <c r="K16" s="125">
        <v>5017.2709999999997</v>
      </c>
      <c r="L16" s="125">
        <v>7455.2849999999999</v>
      </c>
      <c r="M16" s="149">
        <f>IFERROR((K16-J16)/(I16-H16),"-")</f>
        <v>1881.9968074354992</v>
      </c>
      <c r="N16" s="158" t="s">
        <v>47</v>
      </c>
      <c r="O16" s="158" t="s">
        <v>47</v>
      </c>
      <c r="P16" s="38" t="s">
        <v>48</v>
      </c>
      <c r="Q16" s="157">
        <v>0.65300000000000002</v>
      </c>
      <c r="R16" s="181">
        <v>0.76700000000000002</v>
      </c>
      <c r="S16" s="181">
        <v>0.48199999999999998</v>
      </c>
      <c r="T16" s="181">
        <v>0.33</v>
      </c>
      <c r="U16" s="181">
        <v>0.84499999999999997</v>
      </c>
      <c r="V16" s="184">
        <v>0.39800000000000002</v>
      </c>
      <c r="W16" s="45" t="s">
        <v>56</v>
      </c>
    </row>
    <row r="17" spans="2:23" ht="19.5" customHeight="1">
      <c r="B17" s="112" t="s">
        <v>73</v>
      </c>
      <c r="C17" s="45" t="s">
        <v>45</v>
      </c>
      <c r="D17" s="45">
        <v>20</v>
      </c>
      <c r="E17" s="45" t="s">
        <v>74</v>
      </c>
      <c r="F17" s="45" t="s">
        <v>47</v>
      </c>
      <c r="G17" s="99" t="s">
        <v>55</v>
      </c>
      <c r="H17" s="125" t="s">
        <v>47</v>
      </c>
      <c r="I17" s="125" t="s">
        <v>47</v>
      </c>
      <c r="J17" s="125" t="s">
        <v>47</v>
      </c>
      <c r="K17" s="125" t="s">
        <v>47</v>
      </c>
      <c r="L17" s="125" t="s">
        <v>47</v>
      </c>
      <c r="M17" s="149" t="str">
        <f t="shared" ref="M17:M80" si="0">IFERROR((K17-J17)/(I17-H17),"-")</f>
        <v>-</v>
      </c>
      <c r="N17" s="125" t="s">
        <v>47</v>
      </c>
      <c r="O17" s="125" t="s">
        <v>47</v>
      </c>
      <c r="P17" s="38" t="s">
        <v>48</v>
      </c>
      <c r="Q17" s="38" t="s">
        <v>48</v>
      </c>
      <c r="R17" s="38" t="s">
        <v>48</v>
      </c>
      <c r="S17" s="38" t="s">
        <v>48</v>
      </c>
      <c r="T17" s="38" t="s">
        <v>48</v>
      </c>
      <c r="U17" s="38" t="s">
        <v>48</v>
      </c>
      <c r="V17" s="159" t="s">
        <v>48</v>
      </c>
      <c r="W17" s="45" t="s">
        <v>75</v>
      </c>
    </row>
    <row r="18" spans="2:23" ht="19.5" customHeight="1">
      <c r="B18" s="112" t="s">
        <v>76</v>
      </c>
      <c r="C18" s="45" t="s">
        <v>77</v>
      </c>
      <c r="D18" s="45">
        <v>20</v>
      </c>
      <c r="E18" s="45" t="s">
        <v>78</v>
      </c>
      <c r="F18" s="45" t="s">
        <v>47</v>
      </c>
      <c r="G18" s="99" t="s">
        <v>55</v>
      </c>
      <c r="H18" s="158" t="s">
        <v>47</v>
      </c>
      <c r="I18" s="158" t="s">
        <v>47</v>
      </c>
      <c r="J18" s="158" t="s">
        <v>47</v>
      </c>
      <c r="K18" s="158" t="s">
        <v>47</v>
      </c>
      <c r="L18" s="158" t="s">
        <v>47</v>
      </c>
      <c r="M18" s="149" t="str">
        <f t="shared" si="0"/>
        <v>-</v>
      </c>
      <c r="N18" s="158" t="s">
        <v>47</v>
      </c>
      <c r="O18" s="158" t="s">
        <v>47</v>
      </c>
      <c r="P18" s="38" t="s">
        <v>48</v>
      </c>
      <c r="Q18" s="38" t="s">
        <v>48</v>
      </c>
      <c r="R18" s="38" t="s">
        <v>48</v>
      </c>
      <c r="S18" s="38" t="s">
        <v>48</v>
      </c>
      <c r="T18" s="38" t="s">
        <v>48</v>
      </c>
      <c r="U18" s="38" t="s">
        <v>48</v>
      </c>
      <c r="V18" s="159" t="s">
        <v>48</v>
      </c>
      <c r="W18" s="45" t="s">
        <v>79</v>
      </c>
    </row>
    <row r="19" spans="2:23" ht="19.5" customHeight="1">
      <c r="B19" s="112" t="s">
        <v>80</v>
      </c>
      <c r="C19" s="45" t="s">
        <v>77</v>
      </c>
      <c r="D19" s="45">
        <v>20</v>
      </c>
      <c r="E19" s="45" t="s">
        <v>81</v>
      </c>
      <c r="F19" s="179" t="s">
        <v>47</v>
      </c>
      <c r="G19" s="99" t="s">
        <v>55</v>
      </c>
      <c r="H19" s="158" t="s">
        <v>47</v>
      </c>
      <c r="I19" s="158" t="s">
        <v>47</v>
      </c>
      <c r="J19" s="158" t="s">
        <v>47</v>
      </c>
      <c r="K19" s="158" t="s">
        <v>47</v>
      </c>
      <c r="L19" s="158" t="s">
        <v>47</v>
      </c>
      <c r="M19" s="149" t="str">
        <f t="shared" si="0"/>
        <v>-</v>
      </c>
      <c r="N19" s="158" t="s">
        <v>47</v>
      </c>
      <c r="O19" s="158" t="s">
        <v>47</v>
      </c>
      <c r="P19" s="38" t="s">
        <v>48</v>
      </c>
      <c r="Q19" s="38" t="s">
        <v>48</v>
      </c>
      <c r="R19" s="38" t="s">
        <v>48</v>
      </c>
      <c r="S19" s="38" t="s">
        <v>48</v>
      </c>
      <c r="T19" s="38" t="s">
        <v>48</v>
      </c>
      <c r="U19" s="38" t="s">
        <v>48</v>
      </c>
      <c r="V19" s="159" t="s">
        <v>48</v>
      </c>
      <c r="W19" s="45" t="s">
        <v>82</v>
      </c>
    </row>
    <row r="20" spans="2:23" ht="19.5" customHeight="1">
      <c r="B20" s="112" t="s">
        <v>83</v>
      </c>
      <c r="C20" s="45" t="s">
        <v>65</v>
      </c>
      <c r="D20" s="45">
        <v>9.5</v>
      </c>
      <c r="E20" s="45" t="s">
        <v>42</v>
      </c>
      <c r="F20" s="45" t="s">
        <v>84</v>
      </c>
      <c r="G20" s="99" t="s">
        <v>72</v>
      </c>
      <c r="H20" s="158" t="s">
        <v>47</v>
      </c>
      <c r="I20" s="158" t="s">
        <v>47</v>
      </c>
      <c r="J20" s="158" t="s">
        <v>47</v>
      </c>
      <c r="K20" s="158" t="s">
        <v>47</v>
      </c>
      <c r="L20" s="158" t="s">
        <v>47</v>
      </c>
      <c r="M20" s="149" t="str">
        <f t="shared" si="0"/>
        <v>-</v>
      </c>
      <c r="N20" s="149">
        <v>47168.1</v>
      </c>
      <c r="O20" s="149">
        <v>44568.2</v>
      </c>
      <c r="P20" s="38">
        <v>1.397</v>
      </c>
      <c r="Q20" s="182" t="s">
        <v>48</v>
      </c>
      <c r="R20" s="188" t="s">
        <v>48</v>
      </c>
      <c r="S20" s="188" t="s">
        <v>48</v>
      </c>
      <c r="T20" s="188" t="s">
        <v>48</v>
      </c>
      <c r="U20" s="188" t="s">
        <v>48</v>
      </c>
      <c r="V20" s="185" t="s">
        <v>48</v>
      </c>
      <c r="W20" s="45" t="s">
        <v>56</v>
      </c>
    </row>
    <row r="21" spans="2:23" ht="19.5" customHeight="1">
      <c r="B21" s="112" t="s">
        <v>85</v>
      </c>
      <c r="C21" s="45" t="s">
        <v>45</v>
      </c>
      <c r="D21" s="45">
        <v>20</v>
      </c>
      <c r="E21" s="45" t="s">
        <v>66</v>
      </c>
      <c r="F21" s="45" t="s">
        <v>86</v>
      </c>
      <c r="G21" s="99" t="s">
        <v>55</v>
      </c>
      <c r="H21" s="158" t="s">
        <v>47</v>
      </c>
      <c r="I21" s="158" t="s">
        <v>47</v>
      </c>
      <c r="J21" s="158" t="s">
        <v>47</v>
      </c>
      <c r="K21" s="158" t="s">
        <v>47</v>
      </c>
      <c r="L21" s="158" t="s">
        <v>47</v>
      </c>
      <c r="M21" s="149" t="str">
        <f t="shared" si="0"/>
        <v>-</v>
      </c>
      <c r="N21" s="149">
        <v>20607.64</v>
      </c>
      <c r="O21" s="149">
        <v>15994.64</v>
      </c>
      <c r="P21" s="38">
        <v>0.502</v>
      </c>
      <c r="Q21" s="182" t="s">
        <v>48</v>
      </c>
      <c r="R21" s="188" t="s">
        <v>48</v>
      </c>
      <c r="S21" s="188" t="s">
        <v>48</v>
      </c>
      <c r="T21" s="188" t="s">
        <v>48</v>
      </c>
      <c r="U21" s="188" t="s">
        <v>48</v>
      </c>
      <c r="V21" s="185" t="s">
        <v>48</v>
      </c>
      <c r="W21" s="45" t="s">
        <v>56</v>
      </c>
    </row>
    <row r="22" spans="2:23" ht="19.5" customHeight="1">
      <c r="B22" s="112" t="s">
        <v>87</v>
      </c>
      <c r="C22" s="45" t="s">
        <v>45</v>
      </c>
      <c r="D22" s="45">
        <v>20</v>
      </c>
      <c r="E22" s="45" t="s">
        <v>66</v>
      </c>
      <c r="F22" s="45" t="s">
        <v>88</v>
      </c>
      <c r="G22" s="99" t="s">
        <v>63</v>
      </c>
      <c r="H22" s="158" t="s">
        <v>47</v>
      </c>
      <c r="I22" s="158" t="s">
        <v>47</v>
      </c>
      <c r="J22" s="158" t="s">
        <v>47</v>
      </c>
      <c r="K22" s="158" t="s">
        <v>47</v>
      </c>
      <c r="L22" s="158" t="s">
        <v>47</v>
      </c>
      <c r="M22" s="149" t="str">
        <f t="shared" si="0"/>
        <v>-</v>
      </c>
      <c r="N22" s="149">
        <v>13286.47</v>
      </c>
      <c r="O22" s="149">
        <v>12079.3</v>
      </c>
      <c r="P22" s="38">
        <v>0.379</v>
      </c>
      <c r="Q22" s="182" t="s">
        <v>48</v>
      </c>
      <c r="R22" s="188" t="s">
        <v>48</v>
      </c>
      <c r="S22" s="188" t="s">
        <v>48</v>
      </c>
      <c r="T22" s="188" t="s">
        <v>48</v>
      </c>
      <c r="U22" s="188" t="s">
        <v>48</v>
      </c>
      <c r="V22" s="185" t="s">
        <v>48</v>
      </c>
      <c r="W22" s="45" t="s">
        <v>56</v>
      </c>
    </row>
    <row r="23" spans="2:23" ht="19.5" customHeight="1">
      <c r="B23" s="112" t="s">
        <v>89</v>
      </c>
      <c r="C23" s="45" t="s">
        <v>65</v>
      </c>
      <c r="D23" s="45">
        <v>12.7</v>
      </c>
      <c r="E23" s="45" t="s">
        <v>42</v>
      </c>
      <c r="F23" s="45"/>
      <c r="G23" s="99" t="s">
        <v>51</v>
      </c>
      <c r="H23" s="158">
        <v>3.7567447</v>
      </c>
      <c r="I23" s="158">
        <v>5.2681576999999997</v>
      </c>
      <c r="J23" s="125">
        <v>9935.4789999999994</v>
      </c>
      <c r="K23" s="125">
        <v>14274.2</v>
      </c>
      <c r="L23" s="125">
        <v>21521.77</v>
      </c>
      <c r="M23" s="149">
        <f t="shared" si="0"/>
        <v>2870.6389319133832</v>
      </c>
      <c r="N23" s="125" t="s">
        <v>47</v>
      </c>
      <c r="O23" s="125" t="s">
        <v>47</v>
      </c>
      <c r="P23" s="182" t="s">
        <v>48</v>
      </c>
      <c r="Q23" s="157">
        <v>0.996</v>
      </c>
      <c r="R23" s="181">
        <v>1.17</v>
      </c>
      <c r="S23" s="181">
        <v>0.73499999999999999</v>
      </c>
      <c r="T23" s="181">
        <v>0.504</v>
      </c>
      <c r="U23" s="181">
        <v>1.2889999999999999</v>
      </c>
      <c r="V23" s="184">
        <v>0.60799999999999998</v>
      </c>
      <c r="W23" s="45" t="s">
        <v>56</v>
      </c>
    </row>
    <row r="24" spans="2:23" ht="19.5" customHeight="1">
      <c r="B24" s="112" t="s">
        <v>90</v>
      </c>
      <c r="C24" s="45" t="s">
        <v>65</v>
      </c>
      <c r="D24" s="45">
        <v>12.7</v>
      </c>
      <c r="E24" s="45" t="s">
        <v>66</v>
      </c>
      <c r="F24" s="45"/>
      <c r="G24" s="99" t="s">
        <v>51</v>
      </c>
      <c r="H24" s="158" t="s">
        <v>47</v>
      </c>
      <c r="I24" s="158" t="s">
        <v>47</v>
      </c>
      <c r="J24" s="158" t="s">
        <v>47</v>
      </c>
      <c r="K24" s="158" t="s">
        <v>47</v>
      </c>
      <c r="L24" s="158" t="s">
        <v>47</v>
      </c>
      <c r="M24" s="149" t="str">
        <f t="shared" si="0"/>
        <v>-</v>
      </c>
      <c r="N24" s="149">
        <v>33002.919849999998</v>
      </c>
      <c r="O24" s="125">
        <v>31187.93</v>
      </c>
      <c r="P24" s="38"/>
      <c r="Q24" s="182" t="s">
        <v>48</v>
      </c>
      <c r="R24" s="188" t="s">
        <v>48</v>
      </c>
      <c r="S24" s="188" t="s">
        <v>48</v>
      </c>
      <c r="T24" s="188" t="s">
        <v>48</v>
      </c>
      <c r="U24" s="188" t="s">
        <v>48</v>
      </c>
      <c r="V24" s="185" t="s">
        <v>48</v>
      </c>
      <c r="W24" s="45" t="s">
        <v>91</v>
      </c>
    </row>
    <row r="25" spans="2:23" ht="19.5" customHeight="1">
      <c r="B25" s="112"/>
      <c r="C25" s="45"/>
      <c r="D25" s="45"/>
      <c r="E25" s="45"/>
      <c r="F25" s="45"/>
      <c r="G25" s="99"/>
      <c r="H25" s="158"/>
      <c r="I25" s="158"/>
      <c r="J25" s="125"/>
      <c r="K25" s="125"/>
      <c r="L25" s="125"/>
      <c r="M25" s="149" t="str">
        <f t="shared" si="0"/>
        <v>-</v>
      </c>
      <c r="N25" s="125"/>
      <c r="O25" s="125"/>
      <c r="P25" s="38"/>
      <c r="Q25" s="157"/>
      <c r="R25" s="181"/>
      <c r="S25" s="181"/>
      <c r="T25" s="181"/>
      <c r="U25" s="181"/>
      <c r="V25" s="184"/>
      <c r="W25" s="45"/>
    </row>
    <row r="26" spans="2:23" ht="19.5" customHeight="1">
      <c r="B26" s="112"/>
      <c r="C26" s="45"/>
      <c r="D26" s="45"/>
      <c r="E26" s="45"/>
      <c r="F26" s="45"/>
      <c r="G26" s="99"/>
      <c r="H26" s="158"/>
      <c r="I26" s="158"/>
      <c r="J26" s="125"/>
      <c r="K26" s="125"/>
      <c r="L26" s="125"/>
      <c r="M26" s="149" t="str">
        <f t="shared" si="0"/>
        <v>-</v>
      </c>
      <c r="N26" s="125"/>
      <c r="O26" s="125"/>
      <c r="P26" s="38"/>
      <c r="Q26" s="157"/>
      <c r="R26" s="181"/>
      <c r="S26" s="181"/>
      <c r="T26" s="181"/>
      <c r="U26" s="181"/>
      <c r="V26" s="184"/>
      <c r="W26" s="45"/>
    </row>
    <row r="27" spans="2:23" ht="19.5" customHeight="1">
      <c r="B27" s="112"/>
      <c r="C27" s="45"/>
      <c r="D27" s="45"/>
      <c r="E27" s="45"/>
      <c r="F27" s="45"/>
      <c r="G27" s="99"/>
      <c r="H27" s="158"/>
      <c r="I27" s="158"/>
      <c r="J27" s="125"/>
      <c r="K27" s="125"/>
      <c r="L27" s="125"/>
      <c r="M27" s="149" t="str">
        <f t="shared" si="0"/>
        <v>-</v>
      </c>
      <c r="N27" s="125"/>
      <c r="O27" s="125"/>
      <c r="P27" s="38"/>
      <c r="Q27" s="157"/>
      <c r="R27" s="181"/>
      <c r="S27" s="181"/>
      <c r="T27" s="181"/>
      <c r="U27" s="181"/>
      <c r="V27" s="184"/>
      <c r="W27" s="45"/>
    </row>
    <row r="28" spans="2:23" ht="19.5" customHeight="1">
      <c r="B28" s="112"/>
      <c r="C28" s="45"/>
      <c r="D28" s="45"/>
      <c r="E28" s="45"/>
      <c r="F28" s="45"/>
      <c r="G28" s="99"/>
      <c r="H28" s="158"/>
      <c r="I28" s="158"/>
      <c r="J28" s="125"/>
      <c r="K28" s="125"/>
      <c r="L28" s="125"/>
      <c r="M28" s="149" t="str">
        <f t="shared" si="0"/>
        <v>-</v>
      </c>
      <c r="N28" s="125"/>
      <c r="O28" s="125"/>
      <c r="P28" s="38"/>
      <c r="Q28" s="157"/>
      <c r="R28" s="181"/>
      <c r="S28" s="181"/>
      <c r="T28" s="181"/>
      <c r="U28" s="181"/>
      <c r="V28" s="184"/>
      <c r="W28" s="45"/>
    </row>
    <row r="29" spans="2:23" ht="19.5" customHeight="1">
      <c r="B29" s="112"/>
      <c r="C29" s="45"/>
      <c r="D29" s="45"/>
      <c r="E29" s="45"/>
      <c r="F29" s="45"/>
      <c r="G29" s="99"/>
      <c r="H29" s="158"/>
      <c r="I29" s="158"/>
      <c r="J29" s="125"/>
      <c r="K29" s="125"/>
      <c r="L29" s="125"/>
      <c r="M29" s="149" t="str">
        <f t="shared" si="0"/>
        <v>-</v>
      </c>
      <c r="N29" s="125"/>
      <c r="O29" s="125"/>
      <c r="P29" s="38"/>
      <c r="Q29" s="157"/>
      <c r="R29" s="181"/>
      <c r="S29" s="181"/>
      <c r="T29" s="181"/>
      <c r="U29" s="181"/>
      <c r="V29" s="184"/>
      <c r="W29" s="45"/>
    </row>
    <row r="30" spans="2:23" ht="19.5" customHeight="1">
      <c r="B30" s="112"/>
      <c r="C30" s="45"/>
      <c r="D30" s="45"/>
      <c r="E30" s="45"/>
      <c r="F30" s="45"/>
      <c r="G30" s="99"/>
      <c r="H30" s="158"/>
      <c r="I30" s="158"/>
      <c r="J30" s="125"/>
      <c r="K30" s="125"/>
      <c r="L30" s="125"/>
      <c r="M30" s="149" t="str">
        <f t="shared" si="0"/>
        <v>-</v>
      </c>
      <c r="N30" s="125"/>
      <c r="O30" s="125"/>
      <c r="P30" s="38"/>
      <c r="Q30" s="157"/>
      <c r="R30" s="181"/>
      <c r="S30" s="181"/>
      <c r="T30" s="181"/>
      <c r="U30" s="181"/>
      <c r="V30" s="184"/>
      <c r="W30" s="45"/>
    </row>
    <row r="31" spans="2:23" ht="19.5" customHeight="1">
      <c r="B31" s="112"/>
      <c r="C31" s="45"/>
      <c r="D31" s="45"/>
      <c r="E31" s="45"/>
      <c r="F31" s="45"/>
      <c r="G31" s="99"/>
      <c r="H31" s="158"/>
      <c r="I31" s="158"/>
      <c r="J31" s="125"/>
      <c r="K31" s="125"/>
      <c r="L31" s="125"/>
      <c r="M31" s="149" t="str">
        <f t="shared" si="0"/>
        <v>-</v>
      </c>
      <c r="N31" s="125"/>
      <c r="O31" s="125"/>
      <c r="P31" s="38"/>
      <c r="Q31" s="157"/>
      <c r="R31" s="181"/>
      <c r="S31" s="181"/>
      <c r="T31" s="181"/>
      <c r="U31" s="181"/>
      <c r="V31" s="184"/>
      <c r="W31" s="45"/>
    </row>
    <row r="32" spans="2:23" ht="19.5" customHeight="1">
      <c r="B32" s="112"/>
      <c r="C32" s="45"/>
      <c r="D32" s="45"/>
      <c r="E32" s="45"/>
      <c r="F32" s="45"/>
      <c r="G32" s="99"/>
      <c r="H32" s="158"/>
      <c r="I32" s="158"/>
      <c r="J32" s="125"/>
      <c r="K32" s="125"/>
      <c r="L32" s="125"/>
      <c r="M32" s="149" t="str">
        <f t="shared" si="0"/>
        <v>-</v>
      </c>
      <c r="N32" s="125"/>
      <c r="O32" s="125"/>
      <c r="P32" s="38"/>
      <c r="Q32" s="157"/>
      <c r="R32" s="181"/>
      <c r="S32" s="181"/>
      <c r="T32" s="181"/>
      <c r="U32" s="181"/>
      <c r="V32" s="184"/>
      <c r="W32" s="45"/>
    </row>
    <row r="33" spans="13:15" ht="19.5" customHeight="1">
      <c r="M33" s="149" t="str">
        <f t="shared" si="0"/>
        <v>-</v>
      </c>
      <c r="N33" s="125"/>
      <c r="O33" s="125"/>
    </row>
    <row r="34" spans="13:15" ht="19.5" customHeight="1">
      <c r="M34" s="149" t="str">
        <f t="shared" si="0"/>
        <v>-</v>
      </c>
      <c r="N34" s="125"/>
      <c r="O34" s="125"/>
    </row>
    <row r="35" spans="13:15" ht="19.5" customHeight="1">
      <c r="M35" s="149" t="str">
        <f t="shared" si="0"/>
        <v>-</v>
      </c>
      <c r="N35" s="125"/>
      <c r="O35" s="125"/>
    </row>
    <row r="36" spans="13:15" ht="19.5" customHeight="1">
      <c r="M36" s="149" t="str">
        <f t="shared" si="0"/>
        <v>-</v>
      </c>
      <c r="N36" s="125"/>
      <c r="O36" s="125"/>
    </row>
    <row r="37" spans="13:15" ht="19.5" customHeight="1">
      <c r="M37" s="149" t="str">
        <f t="shared" si="0"/>
        <v>-</v>
      </c>
      <c r="N37" s="125"/>
      <c r="O37" s="125"/>
    </row>
    <row r="38" spans="13:15" ht="19.5" customHeight="1">
      <c r="M38" s="149" t="str">
        <f t="shared" si="0"/>
        <v>-</v>
      </c>
      <c r="N38" s="125"/>
      <c r="O38" s="125"/>
    </row>
    <row r="39" spans="13:15" ht="19.5" customHeight="1">
      <c r="M39" s="149" t="str">
        <f t="shared" si="0"/>
        <v>-</v>
      </c>
      <c r="N39" s="125"/>
      <c r="O39" s="125"/>
    </row>
    <row r="40" spans="13:15" ht="19.5" customHeight="1">
      <c r="M40" s="149" t="str">
        <f t="shared" si="0"/>
        <v>-</v>
      </c>
      <c r="N40" s="125"/>
      <c r="O40" s="125"/>
    </row>
    <row r="41" spans="13:15" ht="19.5" customHeight="1">
      <c r="M41" s="149" t="str">
        <f t="shared" si="0"/>
        <v>-</v>
      </c>
      <c r="N41" s="125"/>
      <c r="O41" s="125"/>
    </row>
    <row r="42" spans="13:15" ht="19.5" customHeight="1">
      <c r="M42" s="149" t="str">
        <f t="shared" si="0"/>
        <v>-</v>
      </c>
      <c r="N42" s="125"/>
      <c r="O42" s="125"/>
    </row>
    <row r="43" spans="13:15" ht="19.5" customHeight="1">
      <c r="M43" s="149" t="str">
        <f t="shared" si="0"/>
        <v>-</v>
      </c>
      <c r="N43" s="125"/>
      <c r="O43" s="125"/>
    </row>
    <row r="44" spans="13:15" ht="19.5" customHeight="1">
      <c r="M44" s="149" t="str">
        <f t="shared" si="0"/>
        <v>-</v>
      </c>
      <c r="N44" s="125"/>
      <c r="O44" s="125"/>
    </row>
    <row r="45" spans="13:15" ht="19.5" customHeight="1">
      <c r="M45" s="149" t="str">
        <f t="shared" si="0"/>
        <v>-</v>
      </c>
      <c r="N45" s="125"/>
      <c r="O45" s="125"/>
    </row>
    <row r="46" spans="13:15" ht="19.5" customHeight="1">
      <c r="M46" s="149" t="str">
        <f t="shared" si="0"/>
        <v>-</v>
      </c>
      <c r="N46" s="125"/>
      <c r="O46" s="125"/>
    </row>
    <row r="47" spans="13:15" ht="19.5" customHeight="1">
      <c r="M47" s="149" t="str">
        <f t="shared" si="0"/>
        <v>-</v>
      </c>
      <c r="N47" s="125"/>
      <c r="O47" s="125"/>
    </row>
    <row r="48" spans="13:15" ht="19.5" customHeight="1">
      <c r="M48" s="149" t="str">
        <f t="shared" si="0"/>
        <v>-</v>
      </c>
      <c r="N48" s="125"/>
      <c r="O48" s="125"/>
    </row>
    <row r="49" spans="13:15" ht="19.5" customHeight="1">
      <c r="M49" s="149" t="str">
        <f t="shared" si="0"/>
        <v>-</v>
      </c>
      <c r="N49" s="125"/>
      <c r="O49" s="125"/>
    </row>
    <row r="50" spans="13:15" ht="19.5" customHeight="1">
      <c r="M50" s="149" t="str">
        <f t="shared" si="0"/>
        <v>-</v>
      </c>
      <c r="N50" s="125"/>
      <c r="O50" s="125"/>
    </row>
    <row r="51" spans="13:15" ht="19.5" customHeight="1">
      <c r="M51" s="149" t="str">
        <f t="shared" si="0"/>
        <v>-</v>
      </c>
      <c r="N51" s="125"/>
      <c r="O51" s="125"/>
    </row>
    <row r="52" spans="13:15" ht="19.5" customHeight="1">
      <c r="M52" s="149" t="str">
        <f t="shared" si="0"/>
        <v>-</v>
      </c>
      <c r="N52" s="125"/>
      <c r="O52" s="125"/>
    </row>
    <row r="53" spans="13:15" ht="19.5" customHeight="1">
      <c r="M53" s="149" t="str">
        <f t="shared" si="0"/>
        <v>-</v>
      </c>
      <c r="N53" s="125"/>
      <c r="O53" s="125"/>
    </row>
    <row r="54" spans="13:15" ht="19.5" customHeight="1">
      <c r="M54" s="149" t="str">
        <f t="shared" si="0"/>
        <v>-</v>
      </c>
      <c r="N54" s="125"/>
      <c r="O54" s="125"/>
    </row>
    <row r="55" spans="13:15" ht="19.5" customHeight="1">
      <c r="M55" s="149" t="str">
        <f t="shared" si="0"/>
        <v>-</v>
      </c>
      <c r="N55" s="125"/>
      <c r="O55" s="125"/>
    </row>
    <row r="56" spans="13:15" ht="19.5" customHeight="1">
      <c r="M56" s="149" t="str">
        <f t="shared" si="0"/>
        <v>-</v>
      </c>
      <c r="N56" s="125"/>
      <c r="O56" s="125"/>
    </row>
    <row r="57" spans="13:15" ht="19.5" customHeight="1">
      <c r="M57" s="149" t="str">
        <f t="shared" si="0"/>
        <v>-</v>
      </c>
      <c r="N57" s="125"/>
      <c r="O57" s="125"/>
    </row>
    <row r="58" spans="13:15" ht="19.5" customHeight="1">
      <c r="M58" s="149" t="str">
        <f t="shared" si="0"/>
        <v>-</v>
      </c>
      <c r="N58" s="125"/>
      <c r="O58" s="125"/>
    </row>
    <row r="59" spans="13:15" ht="19.5" customHeight="1">
      <c r="M59" s="149" t="str">
        <f t="shared" si="0"/>
        <v>-</v>
      </c>
      <c r="N59" s="125"/>
      <c r="O59" s="125"/>
    </row>
    <row r="60" spans="13:15" ht="19.5" customHeight="1">
      <c r="M60" s="149" t="str">
        <f t="shared" si="0"/>
        <v>-</v>
      </c>
      <c r="N60" s="125"/>
      <c r="O60" s="125"/>
    </row>
    <row r="61" spans="13:15" ht="19.5" customHeight="1">
      <c r="M61" s="149" t="str">
        <f t="shared" si="0"/>
        <v>-</v>
      </c>
      <c r="N61" s="125"/>
      <c r="O61" s="125"/>
    </row>
    <row r="62" spans="13:15" ht="19.5" customHeight="1">
      <c r="M62" s="149" t="str">
        <f t="shared" si="0"/>
        <v>-</v>
      </c>
      <c r="N62" s="125"/>
      <c r="O62" s="125"/>
    </row>
    <row r="63" spans="13:15" ht="19.5" customHeight="1">
      <c r="M63" s="149" t="str">
        <f t="shared" si="0"/>
        <v>-</v>
      </c>
      <c r="N63" s="125"/>
      <c r="O63" s="125"/>
    </row>
    <row r="64" spans="13:15" ht="19.5" customHeight="1">
      <c r="M64" s="149" t="str">
        <f t="shared" si="0"/>
        <v>-</v>
      </c>
      <c r="N64" s="125"/>
      <c r="O64" s="125"/>
    </row>
    <row r="65" spans="13:15" ht="19.5" customHeight="1">
      <c r="M65" s="149" t="str">
        <f t="shared" si="0"/>
        <v>-</v>
      </c>
      <c r="N65" s="125"/>
      <c r="O65" s="125"/>
    </row>
    <row r="66" spans="13:15" ht="19.5" customHeight="1">
      <c r="M66" s="149" t="str">
        <f t="shared" si="0"/>
        <v>-</v>
      </c>
      <c r="N66" s="125"/>
      <c r="O66" s="125"/>
    </row>
    <row r="67" spans="13:15" ht="19.5" customHeight="1">
      <c r="M67" s="149" t="str">
        <f t="shared" si="0"/>
        <v>-</v>
      </c>
      <c r="N67" s="125"/>
      <c r="O67" s="125"/>
    </row>
    <row r="68" spans="13:15" ht="19.5" customHeight="1">
      <c r="M68" s="149" t="str">
        <f t="shared" si="0"/>
        <v>-</v>
      </c>
      <c r="N68" s="125"/>
      <c r="O68" s="125"/>
    </row>
    <row r="69" spans="13:15" ht="19.5" customHeight="1">
      <c r="M69" s="149" t="str">
        <f t="shared" si="0"/>
        <v>-</v>
      </c>
      <c r="N69" s="125"/>
      <c r="O69" s="125"/>
    </row>
    <row r="70" spans="13:15" ht="19.5" customHeight="1">
      <c r="M70" s="149" t="str">
        <f t="shared" si="0"/>
        <v>-</v>
      </c>
      <c r="N70" s="125"/>
      <c r="O70" s="125"/>
    </row>
    <row r="71" spans="13:15" ht="19.5" customHeight="1">
      <c r="M71" s="149" t="str">
        <f t="shared" si="0"/>
        <v>-</v>
      </c>
      <c r="N71" s="125"/>
      <c r="O71" s="125"/>
    </row>
    <row r="72" spans="13:15" ht="19.5" customHeight="1">
      <c r="M72" s="149" t="str">
        <f t="shared" si="0"/>
        <v>-</v>
      </c>
      <c r="N72" s="125"/>
      <c r="O72" s="125"/>
    </row>
    <row r="73" spans="13:15" ht="19.5" customHeight="1">
      <c r="M73" s="149" t="str">
        <f t="shared" si="0"/>
        <v>-</v>
      </c>
      <c r="N73" s="125"/>
      <c r="O73" s="125"/>
    </row>
    <row r="74" spans="13:15" ht="19.5" customHeight="1">
      <c r="M74" s="149" t="str">
        <f t="shared" si="0"/>
        <v>-</v>
      </c>
      <c r="N74" s="125"/>
      <c r="O74" s="125"/>
    </row>
    <row r="75" spans="13:15" ht="19.5" customHeight="1">
      <c r="M75" s="149" t="str">
        <f t="shared" si="0"/>
        <v>-</v>
      </c>
      <c r="N75" s="125"/>
      <c r="O75" s="125"/>
    </row>
    <row r="76" spans="13:15" ht="19.5" customHeight="1">
      <c r="M76" s="149" t="str">
        <f t="shared" si="0"/>
        <v>-</v>
      </c>
      <c r="N76" s="125"/>
      <c r="O76" s="125"/>
    </row>
    <row r="77" spans="13:15" ht="19.5" customHeight="1">
      <c r="M77" s="149" t="str">
        <f t="shared" si="0"/>
        <v>-</v>
      </c>
      <c r="N77" s="125"/>
      <c r="O77" s="125"/>
    </row>
    <row r="78" spans="13:15" ht="19.5" customHeight="1">
      <c r="M78" s="149" t="str">
        <f t="shared" si="0"/>
        <v>-</v>
      </c>
      <c r="N78" s="125"/>
      <c r="O78" s="125"/>
    </row>
    <row r="79" spans="13:15" ht="19.5" customHeight="1">
      <c r="M79" s="149" t="str">
        <f t="shared" si="0"/>
        <v>-</v>
      </c>
      <c r="N79" s="125"/>
      <c r="O79" s="125"/>
    </row>
    <row r="80" spans="13:15" ht="19.5" customHeight="1">
      <c r="M80" s="149" t="str">
        <f t="shared" si="0"/>
        <v>-</v>
      </c>
      <c r="N80" s="125"/>
      <c r="O80" s="125"/>
    </row>
    <row r="81" spans="13:15" ht="19.5" customHeight="1">
      <c r="M81" s="149" t="str">
        <f t="shared" ref="M81:M144" si="1">IFERROR((K81-J81)/(I81-H81),"-")</f>
        <v>-</v>
      </c>
      <c r="N81" s="125"/>
      <c r="O81" s="125"/>
    </row>
    <row r="82" spans="13:15" ht="19.5" customHeight="1">
      <c r="M82" s="149" t="str">
        <f t="shared" si="1"/>
        <v>-</v>
      </c>
      <c r="N82" s="125"/>
      <c r="O82" s="125"/>
    </row>
    <row r="83" spans="13:15" ht="19.5" customHeight="1">
      <c r="M83" s="149" t="str">
        <f t="shared" si="1"/>
        <v>-</v>
      </c>
      <c r="N83" s="125"/>
      <c r="O83" s="125"/>
    </row>
    <row r="84" spans="13:15" ht="19.5" customHeight="1">
      <c r="M84" s="149" t="str">
        <f t="shared" si="1"/>
        <v>-</v>
      </c>
      <c r="N84" s="125"/>
      <c r="O84" s="125"/>
    </row>
    <row r="85" spans="13:15" ht="19.5" customHeight="1">
      <c r="M85" s="149" t="str">
        <f t="shared" si="1"/>
        <v>-</v>
      </c>
      <c r="N85" s="125"/>
      <c r="O85" s="125"/>
    </row>
    <row r="86" spans="13:15" ht="19.5" customHeight="1">
      <c r="M86" s="149" t="str">
        <f t="shared" si="1"/>
        <v>-</v>
      </c>
      <c r="N86" s="125"/>
      <c r="O86" s="125"/>
    </row>
    <row r="87" spans="13:15" ht="19.5" customHeight="1">
      <c r="M87" s="149" t="str">
        <f t="shared" si="1"/>
        <v>-</v>
      </c>
      <c r="N87" s="125"/>
      <c r="O87" s="125"/>
    </row>
    <row r="88" spans="13:15" ht="19.5" customHeight="1">
      <c r="M88" s="149" t="str">
        <f t="shared" si="1"/>
        <v>-</v>
      </c>
      <c r="N88" s="125"/>
      <c r="O88" s="125"/>
    </row>
    <row r="89" spans="13:15" ht="19.5" customHeight="1">
      <c r="M89" s="149" t="str">
        <f t="shared" si="1"/>
        <v>-</v>
      </c>
      <c r="N89" s="125"/>
      <c r="O89" s="125"/>
    </row>
    <row r="90" spans="13:15" ht="19.5" customHeight="1">
      <c r="M90" s="149" t="str">
        <f t="shared" si="1"/>
        <v>-</v>
      </c>
      <c r="N90" s="125"/>
      <c r="O90" s="125"/>
    </row>
    <row r="91" spans="13:15" ht="19.5" customHeight="1">
      <c r="M91" s="149" t="str">
        <f t="shared" si="1"/>
        <v>-</v>
      </c>
      <c r="N91" s="125"/>
      <c r="O91" s="125"/>
    </row>
    <row r="92" spans="13:15" ht="19.5" customHeight="1">
      <c r="M92" s="149" t="str">
        <f t="shared" si="1"/>
        <v>-</v>
      </c>
      <c r="N92" s="125"/>
      <c r="O92" s="125"/>
    </row>
    <row r="93" spans="13:15" ht="19.5" customHeight="1">
      <c r="M93" s="149" t="str">
        <f t="shared" si="1"/>
        <v>-</v>
      </c>
      <c r="N93" s="125"/>
      <c r="O93" s="125"/>
    </row>
    <row r="94" spans="13:15" ht="19.5" customHeight="1">
      <c r="M94" s="149" t="str">
        <f t="shared" si="1"/>
        <v>-</v>
      </c>
      <c r="N94" s="125"/>
      <c r="O94" s="125"/>
    </row>
    <row r="95" spans="13:15" ht="19.5" customHeight="1">
      <c r="M95" s="149" t="str">
        <f t="shared" si="1"/>
        <v>-</v>
      </c>
      <c r="N95" s="125"/>
      <c r="O95" s="125"/>
    </row>
    <row r="96" spans="13:15" ht="19.5" customHeight="1">
      <c r="M96" s="149" t="str">
        <f t="shared" si="1"/>
        <v>-</v>
      </c>
      <c r="N96" s="125"/>
      <c r="O96" s="125"/>
    </row>
    <row r="97" spans="13:15" ht="19.5" customHeight="1">
      <c r="M97" s="149" t="str">
        <f t="shared" si="1"/>
        <v>-</v>
      </c>
      <c r="N97" s="125"/>
      <c r="O97" s="125"/>
    </row>
    <row r="98" spans="13:15" ht="19.5" customHeight="1">
      <c r="M98" s="149" t="str">
        <f t="shared" si="1"/>
        <v>-</v>
      </c>
      <c r="N98" s="125"/>
      <c r="O98" s="125"/>
    </row>
    <row r="99" spans="13:15" ht="19.5" customHeight="1">
      <c r="M99" s="149" t="str">
        <f t="shared" si="1"/>
        <v>-</v>
      </c>
      <c r="N99" s="125"/>
      <c r="O99" s="125"/>
    </row>
    <row r="100" spans="13:15" ht="19.5" customHeight="1">
      <c r="M100" s="149" t="str">
        <f t="shared" si="1"/>
        <v>-</v>
      </c>
      <c r="N100" s="125"/>
      <c r="O100" s="125"/>
    </row>
    <row r="101" spans="13:15" ht="19.5" customHeight="1">
      <c r="M101" s="149" t="str">
        <f t="shared" si="1"/>
        <v>-</v>
      </c>
      <c r="N101" s="125"/>
      <c r="O101" s="125"/>
    </row>
    <row r="102" spans="13:15" ht="19.5" customHeight="1">
      <c r="M102" s="149" t="str">
        <f t="shared" si="1"/>
        <v>-</v>
      </c>
      <c r="N102" s="125"/>
      <c r="O102" s="125"/>
    </row>
    <row r="103" spans="13:15" ht="19.5" customHeight="1">
      <c r="M103" s="149" t="str">
        <f t="shared" si="1"/>
        <v>-</v>
      </c>
      <c r="N103" s="125"/>
      <c r="O103" s="125"/>
    </row>
    <row r="104" spans="13:15" ht="19.5" customHeight="1">
      <c r="M104" s="149" t="str">
        <f t="shared" si="1"/>
        <v>-</v>
      </c>
      <c r="N104" s="125"/>
      <c r="O104" s="125"/>
    </row>
    <row r="105" spans="13:15" ht="19.5" customHeight="1">
      <c r="M105" s="149" t="str">
        <f t="shared" si="1"/>
        <v>-</v>
      </c>
      <c r="N105" s="125"/>
      <c r="O105" s="125"/>
    </row>
    <row r="106" spans="13:15" ht="19.5" customHeight="1">
      <c r="M106" s="149" t="str">
        <f t="shared" si="1"/>
        <v>-</v>
      </c>
      <c r="N106" s="125"/>
      <c r="O106" s="125"/>
    </row>
    <row r="107" spans="13:15" ht="19.5" customHeight="1">
      <c r="M107" s="149" t="str">
        <f t="shared" si="1"/>
        <v>-</v>
      </c>
      <c r="N107" s="125"/>
      <c r="O107" s="125"/>
    </row>
    <row r="108" spans="13:15" ht="19.5" customHeight="1">
      <c r="M108" s="149" t="str">
        <f t="shared" si="1"/>
        <v>-</v>
      </c>
      <c r="N108" s="125"/>
      <c r="O108" s="125"/>
    </row>
    <row r="109" spans="13:15" ht="19.5" customHeight="1">
      <c r="M109" s="149" t="str">
        <f t="shared" si="1"/>
        <v>-</v>
      </c>
      <c r="N109" s="125"/>
      <c r="O109" s="125"/>
    </row>
    <row r="110" spans="13:15" ht="19.5" customHeight="1">
      <c r="M110" s="149" t="str">
        <f t="shared" si="1"/>
        <v>-</v>
      </c>
      <c r="N110" s="125"/>
      <c r="O110" s="125"/>
    </row>
    <row r="111" spans="13:15" ht="19.5" customHeight="1">
      <c r="M111" s="149" t="str">
        <f t="shared" si="1"/>
        <v>-</v>
      </c>
      <c r="N111" s="125"/>
      <c r="O111" s="125"/>
    </row>
    <row r="112" spans="13:15" ht="19.5" customHeight="1">
      <c r="M112" s="149" t="str">
        <f t="shared" si="1"/>
        <v>-</v>
      </c>
      <c r="N112" s="125"/>
      <c r="O112" s="125"/>
    </row>
    <row r="113" spans="13:15" ht="19.5" customHeight="1">
      <c r="M113" s="149" t="str">
        <f t="shared" si="1"/>
        <v>-</v>
      </c>
      <c r="N113" s="125"/>
      <c r="O113" s="125"/>
    </row>
    <row r="114" spans="13:15" ht="19.5" customHeight="1">
      <c r="M114" s="149" t="str">
        <f t="shared" si="1"/>
        <v>-</v>
      </c>
      <c r="N114" s="125"/>
      <c r="O114" s="125"/>
    </row>
    <row r="115" spans="13:15" ht="19.5" customHeight="1">
      <c r="M115" s="149" t="str">
        <f t="shared" si="1"/>
        <v>-</v>
      </c>
      <c r="N115" s="125"/>
      <c r="O115" s="125"/>
    </row>
    <row r="116" spans="13:15" ht="19.5" customHeight="1">
      <c r="M116" s="149" t="str">
        <f t="shared" si="1"/>
        <v>-</v>
      </c>
      <c r="N116" s="125"/>
      <c r="O116" s="125"/>
    </row>
    <row r="117" spans="13:15" ht="19.5" customHeight="1">
      <c r="M117" s="149" t="str">
        <f t="shared" si="1"/>
        <v>-</v>
      </c>
      <c r="N117" s="125"/>
      <c r="O117" s="125"/>
    </row>
    <row r="118" spans="13:15" ht="19.5" customHeight="1">
      <c r="M118" s="149" t="str">
        <f t="shared" si="1"/>
        <v>-</v>
      </c>
      <c r="N118" s="125"/>
      <c r="O118" s="125"/>
    </row>
    <row r="119" spans="13:15" ht="19.5" customHeight="1">
      <c r="M119" s="149" t="str">
        <f t="shared" si="1"/>
        <v>-</v>
      </c>
      <c r="N119" s="125"/>
      <c r="O119" s="125"/>
    </row>
    <row r="120" spans="13:15" ht="19.5" customHeight="1">
      <c r="M120" s="149" t="str">
        <f t="shared" si="1"/>
        <v>-</v>
      </c>
      <c r="N120" s="125"/>
      <c r="O120" s="125"/>
    </row>
    <row r="121" spans="13:15" ht="19.5" customHeight="1">
      <c r="M121" s="149" t="str">
        <f t="shared" si="1"/>
        <v>-</v>
      </c>
      <c r="N121" s="125"/>
      <c r="O121" s="125"/>
    </row>
    <row r="122" spans="13:15" ht="19.5" customHeight="1">
      <c r="M122" s="149" t="str">
        <f t="shared" si="1"/>
        <v>-</v>
      </c>
      <c r="N122" s="125"/>
      <c r="O122" s="125"/>
    </row>
    <row r="123" spans="13:15" ht="19.5" customHeight="1">
      <c r="M123" s="149" t="str">
        <f t="shared" si="1"/>
        <v>-</v>
      </c>
      <c r="N123" s="125"/>
      <c r="O123" s="125"/>
    </row>
    <row r="124" spans="13:15" ht="19.5" customHeight="1">
      <c r="M124" s="149" t="str">
        <f t="shared" si="1"/>
        <v>-</v>
      </c>
      <c r="N124" s="125"/>
      <c r="O124" s="125"/>
    </row>
    <row r="125" spans="13:15" ht="19.5" customHeight="1">
      <c r="M125" s="149" t="str">
        <f t="shared" si="1"/>
        <v>-</v>
      </c>
      <c r="N125" s="125"/>
      <c r="O125" s="125"/>
    </row>
    <row r="126" spans="13:15" ht="19.5" customHeight="1">
      <c r="M126" s="149" t="str">
        <f t="shared" si="1"/>
        <v>-</v>
      </c>
      <c r="N126" s="125"/>
      <c r="O126" s="125"/>
    </row>
    <row r="127" spans="13:15" ht="19.5" customHeight="1">
      <c r="M127" s="149" t="str">
        <f t="shared" si="1"/>
        <v>-</v>
      </c>
      <c r="N127" s="125"/>
      <c r="O127" s="125"/>
    </row>
    <row r="128" spans="13:15" ht="19.5" customHeight="1">
      <c r="M128" s="149" t="str">
        <f t="shared" si="1"/>
        <v>-</v>
      </c>
      <c r="N128" s="125"/>
      <c r="O128" s="125"/>
    </row>
    <row r="129" spans="13:15" ht="19.5" customHeight="1">
      <c r="M129" s="149" t="str">
        <f t="shared" si="1"/>
        <v>-</v>
      </c>
      <c r="N129" s="125"/>
      <c r="O129" s="125"/>
    </row>
    <row r="130" spans="13:15" ht="19.5" customHeight="1">
      <c r="M130" s="149" t="str">
        <f t="shared" si="1"/>
        <v>-</v>
      </c>
      <c r="N130" s="125"/>
      <c r="O130" s="125"/>
    </row>
    <row r="131" spans="13:15" ht="19.5" customHeight="1">
      <c r="M131" s="149" t="str">
        <f t="shared" si="1"/>
        <v>-</v>
      </c>
      <c r="N131" s="125"/>
      <c r="O131" s="125"/>
    </row>
    <row r="132" spans="13:15" ht="19.5" customHeight="1">
      <c r="M132" s="149" t="str">
        <f t="shared" si="1"/>
        <v>-</v>
      </c>
      <c r="N132" s="125"/>
      <c r="O132" s="125"/>
    </row>
    <row r="133" spans="13:15" ht="19.5" customHeight="1">
      <c r="M133" s="149" t="str">
        <f t="shared" si="1"/>
        <v>-</v>
      </c>
      <c r="N133" s="125"/>
      <c r="O133" s="125"/>
    </row>
    <row r="134" spans="13:15" ht="19.5" customHeight="1">
      <c r="M134" s="149" t="str">
        <f t="shared" si="1"/>
        <v>-</v>
      </c>
      <c r="N134" s="125"/>
      <c r="O134" s="125"/>
    </row>
    <row r="135" spans="13:15" ht="19.5" customHeight="1">
      <c r="M135" s="149" t="str">
        <f t="shared" si="1"/>
        <v>-</v>
      </c>
      <c r="N135" s="125"/>
      <c r="O135" s="125"/>
    </row>
    <row r="136" spans="13:15" ht="19.5" customHeight="1">
      <c r="M136" s="149" t="str">
        <f t="shared" si="1"/>
        <v>-</v>
      </c>
      <c r="N136" s="125"/>
      <c r="O136" s="125"/>
    </row>
    <row r="137" spans="13:15" ht="19.5" customHeight="1">
      <c r="M137" s="149" t="str">
        <f t="shared" si="1"/>
        <v>-</v>
      </c>
      <c r="N137" s="125"/>
      <c r="O137" s="125"/>
    </row>
    <row r="138" spans="13:15" ht="19.5" customHeight="1">
      <c r="M138" s="149" t="str">
        <f t="shared" si="1"/>
        <v>-</v>
      </c>
      <c r="N138" s="125"/>
      <c r="O138" s="125"/>
    </row>
    <row r="139" spans="13:15" ht="19.5" customHeight="1">
      <c r="M139" s="149" t="str">
        <f t="shared" si="1"/>
        <v>-</v>
      </c>
      <c r="N139" s="125"/>
      <c r="O139" s="125"/>
    </row>
    <row r="140" spans="13:15" ht="19.5" customHeight="1">
      <c r="M140" s="149" t="str">
        <f t="shared" si="1"/>
        <v>-</v>
      </c>
      <c r="N140" s="125"/>
      <c r="O140" s="125"/>
    </row>
    <row r="141" spans="13:15" ht="19.5" customHeight="1">
      <c r="M141" s="149" t="str">
        <f t="shared" si="1"/>
        <v>-</v>
      </c>
      <c r="N141" s="125"/>
      <c r="O141" s="125"/>
    </row>
    <row r="142" spans="13:15" ht="19.5" customHeight="1">
      <c r="M142" s="149" t="str">
        <f t="shared" si="1"/>
        <v>-</v>
      </c>
      <c r="N142" s="125"/>
      <c r="O142" s="125"/>
    </row>
    <row r="143" spans="13:15" ht="19.5" customHeight="1">
      <c r="M143" s="149" t="str">
        <f t="shared" si="1"/>
        <v>-</v>
      </c>
      <c r="N143" s="125"/>
      <c r="O143" s="125"/>
    </row>
    <row r="144" spans="13:15" ht="19.5" customHeight="1">
      <c r="M144" s="149" t="str">
        <f t="shared" si="1"/>
        <v>-</v>
      </c>
      <c r="N144" s="125"/>
      <c r="O144" s="125"/>
    </row>
    <row r="145" spans="13:15" ht="19.5" customHeight="1">
      <c r="M145" s="149" t="str">
        <f t="shared" ref="M145:M208" si="2">IFERROR((K145-J145)/(I145-H145),"-")</f>
        <v>-</v>
      </c>
      <c r="N145" s="125"/>
      <c r="O145" s="125"/>
    </row>
    <row r="146" spans="13:15" ht="19.5" customHeight="1">
      <c r="M146" s="149" t="str">
        <f t="shared" si="2"/>
        <v>-</v>
      </c>
      <c r="N146" s="125"/>
      <c r="O146" s="125"/>
    </row>
    <row r="147" spans="13:15" ht="19.5" customHeight="1">
      <c r="M147" s="149" t="str">
        <f t="shared" si="2"/>
        <v>-</v>
      </c>
      <c r="N147" s="125"/>
      <c r="O147" s="125"/>
    </row>
    <row r="148" spans="13:15" ht="19.5" customHeight="1">
      <c r="M148" s="149" t="str">
        <f t="shared" si="2"/>
        <v>-</v>
      </c>
      <c r="N148" s="125"/>
      <c r="O148" s="125"/>
    </row>
    <row r="149" spans="13:15" ht="19.5" customHeight="1">
      <c r="M149" s="149" t="str">
        <f t="shared" si="2"/>
        <v>-</v>
      </c>
      <c r="N149" s="125"/>
      <c r="O149" s="125"/>
    </row>
    <row r="150" spans="13:15" ht="19.5" customHeight="1">
      <c r="M150" s="149" t="str">
        <f t="shared" si="2"/>
        <v>-</v>
      </c>
      <c r="N150" s="125"/>
      <c r="O150" s="125"/>
    </row>
    <row r="151" spans="13:15" ht="19.5" customHeight="1">
      <c r="M151" s="149" t="str">
        <f t="shared" si="2"/>
        <v>-</v>
      </c>
      <c r="N151" s="125"/>
      <c r="O151" s="125"/>
    </row>
    <row r="152" spans="13:15" ht="19.5" customHeight="1">
      <c r="M152" s="149" t="str">
        <f t="shared" si="2"/>
        <v>-</v>
      </c>
      <c r="N152" s="125"/>
      <c r="O152" s="125"/>
    </row>
    <row r="153" spans="13:15" ht="19.5" customHeight="1">
      <c r="M153" s="149" t="str">
        <f t="shared" si="2"/>
        <v>-</v>
      </c>
      <c r="N153" s="125"/>
      <c r="O153" s="125"/>
    </row>
    <row r="154" spans="13:15" ht="19.5" customHeight="1">
      <c r="M154" s="149" t="str">
        <f t="shared" si="2"/>
        <v>-</v>
      </c>
      <c r="N154" s="125"/>
      <c r="O154" s="125"/>
    </row>
    <row r="155" spans="13:15" ht="19.5" customHeight="1">
      <c r="M155" s="149" t="str">
        <f t="shared" si="2"/>
        <v>-</v>
      </c>
      <c r="N155" s="125"/>
      <c r="O155" s="125"/>
    </row>
    <row r="156" spans="13:15" ht="19.5" customHeight="1">
      <c r="M156" s="149" t="str">
        <f t="shared" si="2"/>
        <v>-</v>
      </c>
      <c r="N156" s="125"/>
      <c r="O156" s="125"/>
    </row>
    <row r="157" spans="13:15" ht="19.5" customHeight="1">
      <c r="M157" s="149" t="str">
        <f t="shared" si="2"/>
        <v>-</v>
      </c>
      <c r="N157" s="125"/>
      <c r="O157" s="125"/>
    </row>
    <row r="158" spans="13:15" ht="19.5" customHeight="1">
      <c r="M158" s="149" t="str">
        <f t="shared" si="2"/>
        <v>-</v>
      </c>
      <c r="N158" s="125"/>
      <c r="O158" s="125"/>
    </row>
    <row r="159" spans="13:15" ht="19.5" customHeight="1">
      <c r="M159" s="149" t="str">
        <f t="shared" si="2"/>
        <v>-</v>
      </c>
      <c r="N159" s="125"/>
      <c r="O159" s="125"/>
    </row>
    <row r="160" spans="13:15" ht="19.5" customHeight="1">
      <c r="M160" s="149" t="str">
        <f t="shared" si="2"/>
        <v>-</v>
      </c>
      <c r="N160" s="125"/>
      <c r="O160" s="125"/>
    </row>
    <row r="161" spans="13:15" ht="19.5" customHeight="1">
      <c r="M161" s="149" t="str">
        <f t="shared" si="2"/>
        <v>-</v>
      </c>
      <c r="N161" s="125"/>
      <c r="O161" s="125"/>
    </row>
    <row r="162" spans="13:15" ht="19.5" customHeight="1">
      <c r="M162" s="149" t="str">
        <f t="shared" si="2"/>
        <v>-</v>
      </c>
      <c r="N162" s="125"/>
      <c r="O162" s="125"/>
    </row>
    <row r="163" spans="13:15" ht="19.5" customHeight="1">
      <c r="M163" s="149" t="str">
        <f t="shared" si="2"/>
        <v>-</v>
      </c>
      <c r="N163" s="125"/>
      <c r="O163" s="125"/>
    </row>
    <row r="164" spans="13:15" ht="19.5" customHeight="1">
      <c r="M164" s="149" t="str">
        <f t="shared" si="2"/>
        <v>-</v>
      </c>
      <c r="N164" s="125"/>
      <c r="O164" s="125"/>
    </row>
    <row r="165" spans="13:15" ht="19.5" customHeight="1">
      <c r="M165" s="149" t="str">
        <f t="shared" si="2"/>
        <v>-</v>
      </c>
      <c r="N165" s="125"/>
      <c r="O165" s="125"/>
    </row>
    <row r="166" spans="13:15" ht="19.5" customHeight="1">
      <c r="M166" s="149" t="str">
        <f t="shared" si="2"/>
        <v>-</v>
      </c>
      <c r="N166" s="125"/>
      <c r="O166" s="125"/>
    </row>
    <row r="167" spans="13:15" ht="19.5" customHeight="1">
      <c r="M167" s="149" t="str">
        <f t="shared" si="2"/>
        <v>-</v>
      </c>
      <c r="N167" s="125"/>
      <c r="O167" s="125"/>
    </row>
    <row r="168" spans="13:15" ht="19.5" customHeight="1">
      <c r="M168" s="149" t="str">
        <f t="shared" si="2"/>
        <v>-</v>
      </c>
      <c r="N168" s="125"/>
      <c r="O168" s="125"/>
    </row>
    <row r="169" spans="13:15" ht="19.5" customHeight="1">
      <c r="M169" s="149" t="str">
        <f t="shared" si="2"/>
        <v>-</v>
      </c>
      <c r="N169" s="125"/>
      <c r="O169" s="125"/>
    </row>
    <row r="170" spans="13:15" ht="19.5" customHeight="1">
      <c r="M170" s="149" t="str">
        <f t="shared" si="2"/>
        <v>-</v>
      </c>
      <c r="N170" s="125"/>
      <c r="O170" s="125"/>
    </row>
    <row r="171" spans="13:15" ht="19.5" customHeight="1">
      <c r="M171" s="149" t="str">
        <f t="shared" si="2"/>
        <v>-</v>
      </c>
      <c r="N171" s="125"/>
      <c r="O171" s="125"/>
    </row>
    <row r="172" spans="13:15" ht="19.5" customHeight="1">
      <c r="M172" s="149" t="str">
        <f t="shared" si="2"/>
        <v>-</v>
      </c>
      <c r="N172" s="125"/>
      <c r="O172" s="125"/>
    </row>
    <row r="173" spans="13:15" ht="19.5" customHeight="1">
      <c r="M173" s="149" t="str">
        <f t="shared" si="2"/>
        <v>-</v>
      </c>
      <c r="N173" s="125"/>
      <c r="O173" s="125"/>
    </row>
    <row r="174" spans="13:15" ht="19.5" customHeight="1">
      <c r="M174" s="149" t="str">
        <f t="shared" si="2"/>
        <v>-</v>
      </c>
      <c r="N174" s="125"/>
      <c r="O174" s="125"/>
    </row>
    <row r="175" spans="13:15" ht="19.5" customHeight="1">
      <c r="M175" s="149" t="str">
        <f t="shared" si="2"/>
        <v>-</v>
      </c>
      <c r="N175" s="125"/>
      <c r="O175" s="125"/>
    </row>
    <row r="176" spans="13:15" ht="19.5" customHeight="1">
      <c r="M176" s="149" t="str">
        <f t="shared" si="2"/>
        <v>-</v>
      </c>
      <c r="N176" s="125"/>
      <c r="O176" s="125"/>
    </row>
    <row r="177" spans="13:15" ht="19.5" customHeight="1">
      <c r="M177" s="149" t="str">
        <f t="shared" si="2"/>
        <v>-</v>
      </c>
      <c r="N177" s="125"/>
      <c r="O177" s="125"/>
    </row>
    <row r="178" spans="13:15" ht="19.5" customHeight="1">
      <c r="M178" s="149" t="str">
        <f t="shared" si="2"/>
        <v>-</v>
      </c>
      <c r="N178" s="125"/>
      <c r="O178" s="125"/>
    </row>
    <row r="179" spans="13:15" ht="19.5" customHeight="1">
      <c r="M179" s="149" t="str">
        <f t="shared" si="2"/>
        <v>-</v>
      </c>
      <c r="N179" s="125"/>
      <c r="O179" s="125"/>
    </row>
    <row r="180" spans="13:15" ht="19.5" customHeight="1">
      <c r="M180" s="149" t="str">
        <f t="shared" si="2"/>
        <v>-</v>
      </c>
      <c r="N180" s="125"/>
      <c r="O180" s="125"/>
    </row>
    <row r="181" spans="13:15" ht="19.5" customHeight="1">
      <c r="M181" s="149" t="str">
        <f t="shared" si="2"/>
        <v>-</v>
      </c>
      <c r="N181" s="125"/>
      <c r="O181" s="125"/>
    </row>
    <row r="182" spans="13:15" ht="19.5" customHeight="1">
      <c r="M182" s="149" t="str">
        <f t="shared" si="2"/>
        <v>-</v>
      </c>
      <c r="N182" s="125"/>
      <c r="O182" s="125"/>
    </row>
    <row r="183" spans="13:15" ht="19.5" customHeight="1">
      <c r="M183" s="149" t="str">
        <f t="shared" si="2"/>
        <v>-</v>
      </c>
      <c r="N183" s="125"/>
      <c r="O183" s="125"/>
    </row>
    <row r="184" spans="13:15" ht="19.5" customHeight="1">
      <c r="M184" s="149" t="str">
        <f t="shared" si="2"/>
        <v>-</v>
      </c>
      <c r="N184" s="125"/>
      <c r="O184" s="125"/>
    </row>
    <row r="185" spans="13:15" ht="19.5" customHeight="1">
      <c r="M185" s="149" t="str">
        <f t="shared" si="2"/>
        <v>-</v>
      </c>
      <c r="N185" s="125"/>
      <c r="O185" s="125"/>
    </row>
    <row r="186" spans="13:15" ht="19.5" customHeight="1">
      <c r="M186" s="149" t="str">
        <f t="shared" si="2"/>
        <v>-</v>
      </c>
      <c r="N186" s="125"/>
      <c r="O186" s="125"/>
    </row>
    <row r="187" spans="13:15" ht="19.5" customHeight="1">
      <c r="M187" s="149" t="str">
        <f t="shared" si="2"/>
        <v>-</v>
      </c>
      <c r="N187" s="125"/>
      <c r="O187" s="125"/>
    </row>
    <row r="188" spans="13:15" ht="19.5" customHeight="1">
      <c r="M188" s="149" t="str">
        <f t="shared" si="2"/>
        <v>-</v>
      </c>
      <c r="N188" s="125"/>
      <c r="O188" s="125"/>
    </row>
    <row r="189" spans="13:15" ht="19.5" customHeight="1">
      <c r="M189" s="149" t="str">
        <f t="shared" si="2"/>
        <v>-</v>
      </c>
      <c r="N189" s="125"/>
      <c r="O189" s="125"/>
    </row>
    <row r="190" spans="13:15" ht="19.5" customHeight="1">
      <c r="M190" s="149" t="str">
        <f t="shared" si="2"/>
        <v>-</v>
      </c>
      <c r="N190" s="125"/>
      <c r="O190" s="125"/>
    </row>
    <row r="191" spans="13:15" ht="19.5" customHeight="1">
      <c r="M191" s="149" t="str">
        <f t="shared" si="2"/>
        <v>-</v>
      </c>
      <c r="N191" s="125"/>
      <c r="O191" s="125"/>
    </row>
    <row r="192" spans="13:15" ht="19.5" customHeight="1">
      <c r="M192" s="149" t="str">
        <f t="shared" si="2"/>
        <v>-</v>
      </c>
      <c r="N192" s="125"/>
      <c r="O192" s="125"/>
    </row>
    <row r="193" spans="13:15" ht="19.5" customHeight="1">
      <c r="M193" s="149" t="str">
        <f t="shared" si="2"/>
        <v>-</v>
      </c>
      <c r="N193" s="125"/>
      <c r="O193" s="125"/>
    </row>
    <row r="194" spans="13:15" ht="19.5" customHeight="1">
      <c r="M194" s="149" t="str">
        <f t="shared" si="2"/>
        <v>-</v>
      </c>
      <c r="N194" s="125"/>
      <c r="O194" s="125"/>
    </row>
    <row r="195" spans="13:15" ht="19.5" customHeight="1">
      <c r="M195" s="149" t="str">
        <f t="shared" si="2"/>
        <v>-</v>
      </c>
      <c r="N195" s="125"/>
      <c r="O195" s="125"/>
    </row>
    <row r="196" spans="13:15" ht="19.5" customHeight="1">
      <c r="M196" s="149" t="str">
        <f t="shared" si="2"/>
        <v>-</v>
      </c>
      <c r="N196" s="125"/>
      <c r="O196" s="125"/>
    </row>
    <row r="197" spans="13:15" ht="19.5" customHeight="1">
      <c r="M197" s="149" t="str">
        <f t="shared" si="2"/>
        <v>-</v>
      </c>
      <c r="N197" s="125"/>
      <c r="O197" s="125"/>
    </row>
    <row r="198" spans="13:15" ht="19.5" customHeight="1">
      <c r="M198" s="149" t="str">
        <f t="shared" si="2"/>
        <v>-</v>
      </c>
      <c r="N198" s="125"/>
      <c r="O198" s="125"/>
    </row>
    <row r="199" spans="13:15" ht="19.5" customHeight="1">
      <c r="M199" s="149" t="str">
        <f t="shared" si="2"/>
        <v>-</v>
      </c>
      <c r="N199" s="125"/>
      <c r="O199" s="125"/>
    </row>
    <row r="200" spans="13:15" ht="19.5" customHeight="1">
      <c r="M200" s="149" t="str">
        <f t="shared" si="2"/>
        <v>-</v>
      </c>
      <c r="N200" s="125"/>
      <c r="O200" s="125"/>
    </row>
    <row r="201" spans="13:15" ht="19.5" customHeight="1">
      <c r="M201" s="149" t="str">
        <f t="shared" si="2"/>
        <v>-</v>
      </c>
      <c r="N201" s="125"/>
      <c r="O201" s="125"/>
    </row>
    <row r="202" spans="13:15" ht="19.5" customHeight="1">
      <c r="M202" s="149" t="str">
        <f t="shared" si="2"/>
        <v>-</v>
      </c>
      <c r="N202" s="125"/>
      <c r="O202" s="125"/>
    </row>
    <row r="203" spans="13:15" ht="19.5" customHeight="1">
      <c r="M203" s="149" t="str">
        <f t="shared" si="2"/>
        <v>-</v>
      </c>
      <c r="N203" s="125"/>
      <c r="O203" s="125"/>
    </row>
    <row r="204" spans="13:15" ht="19.5" customHeight="1">
      <c r="M204" s="149" t="str">
        <f t="shared" si="2"/>
        <v>-</v>
      </c>
      <c r="N204" s="125"/>
      <c r="O204" s="125"/>
    </row>
    <row r="205" spans="13:15" ht="19.5" customHeight="1">
      <c r="M205" s="149" t="str">
        <f t="shared" si="2"/>
        <v>-</v>
      </c>
      <c r="N205" s="125"/>
      <c r="O205" s="125"/>
    </row>
    <row r="206" spans="13:15" ht="19.5" customHeight="1">
      <c r="M206" s="149" t="str">
        <f t="shared" si="2"/>
        <v>-</v>
      </c>
      <c r="N206" s="125"/>
      <c r="O206" s="125"/>
    </row>
    <row r="207" spans="13:15" ht="19.5" customHeight="1">
      <c r="M207" s="149" t="str">
        <f t="shared" si="2"/>
        <v>-</v>
      </c>
      <c r="N207" s="125"/>
      <c r="O207" s="125"/>
    </row>
    <row r="208" spans="13:15" ht="19.5" customHeight="1">
      <c r="M208" s="149" t="str">
        <f t="shared" si="2"/>
        <v>-</v>
      </c>
      <c r="N208" s="125"/>
      <c r="O208" s="125"/>
    </row>
    <row r="209" spans="13:15" ht="19.5" customHeight="1">
      <c r="M209" s="149" t="str">
        <f t="shared" ref="M209:M260" si="3">IFERROR((K209-J209)/(I209-H209),"-")</f>
        <v>-</v>
      </c>
      <c r="N209" s="125"/>
      <c r="O209" s="125"/>
    </row>
    <row r="210" spans="13:15" ht="19.5" customHeight="1">
      <c r="M210" s="149" t="str">
        <f t="shared" si="3"/>
        <v>-</v>
      </c>
      <c r="N210" s="125"/>
      <c r="O210" s="125"/>
    </row>
    <row r="211" spans="13:15" ht="19.5" customHeight="1">
      <c r="M211" s="149" t="str">
        <f t="shared" si="3"/>
        <v>-</v>
      </c>
      <c r="N211" s="125"/>
      <c r="O211" s="125"/>
    </row>
    <row r="212" spans="13:15" ht="19.5" customHeight="1">
      <c r="M212" s="149" t="str">
        <f t="shared" si="3"/>
        <v>-</v>
      </c>
      <c r="N212" s="125"/>
      <c r="O212" s="125"/>
    </row>
    <row r="213" spans="13:15" ht="19.5" customHeight="1">
      <c r="M213" s="149" t="str">
        <f t="shared" si="3"/>
        <v>-</v>
      </c>
      <c r="N213" s="125"/>
      <c r="O213" s="125"/>
    </row>
    <row r="214" spans="13:15" ht="19.5" customHeight="1">
      <c r="M214" s="149" t="str">
        <f t="shared" si="3"/>
        <v>-</v>
      </c>
      <c r="N214" s="125"/>
      <c r="O214" s="125"/>
    </row>
    <row r="215" spans="13:15" ht="19.5" customHeight="1">
      <c r="M215" s="149" t="str">
        <f t="shared" si="3"/>
        <v>-</v>
      </c>
      <c r="N215" s="125"/>
      <c r="O215" s="125"/>
    </row>
    <row r="216" spans="13:15" ht="19.5" customHeight="1">
      <c r="M216" s="149" t="str">
        <f t="shared" si="3"/>
        <v>-</v>
      </c>
      <c r="N216" s="125"/>
      <c r="O216" s="125"/>
    </row>
    <row r="217" spans="13:15" ht="19.5" customHeight="1">
      <c r="M217" s="149" t="str">
        <f t="shared" si="3"/>
        <v>-</v>
      </c>
      <c r="N217" s="125"/>
      <c r="O217" s="125"/>
    </row>
    <row r="218" spans="13:15" ht="19.5" customHeight="1">
      <c r="M218" s="149" t="str">
        <f t="shared" si="3"/>
        <v>-</v>
      </c>
      <c r="N218" s="125"/>
      <c r="O218" s="125"/>
    </row>
    <row r="219" spans="13:15" ht="19.5" customHeight="1">
      <c r="M219" s="149" t="str">
        <f t="shared" si="3"/>
        <v>-</v>
      </c>
      <c r="N219" s="125"/>
      <c r="O219" s="125"/>
    </row>
    <row r="220" spans="13:15" ht="19.5" customHeight="1">
      <c r="M220" s="149" t="str">
        <f t="shared" si="3"/>
        <v>-</v>
      </c>
      <c r="N220" s="125"/>
      <c r="O220" s="125"/>
    </row>
    <row r="221" spans="13:15" ht="19.5" customHeight="1">
      <c r="M221" s="149" t="str">
        <f t="shared" si="3"/>
        <v>-</v>
      </c>
      <c r="N221" s="125"/>
      <c r="O221" s="125"/>
    </row>
    <row r="222" spans="13:15" ht="19.5" customHeight="1">
      <c r="M222" s="149" t="str">
        <f t="shared" si="3"/>
        <v>-</v>
      </c>
      <c r="N222" s="125"/>
      <c r="O222" s="125"/>
    </row>
    <row r="223" spans="13:15" ht="19.5" customHeight="1">
      <c r="M223" s="149" t="str">
        <f t="shared" si="3"/>
        <v>-</v>
      </c>
      <c r="N223" s="125"/>
      <c r="O223" s="125"/>
    </row>
    <row r="224" spans="13:15" ht="19.5" customHeight="1">
      <c r="M224" s="149" t="str">
        <f t="shared" si="3"/>
        <v>-</v>
      </c>
      <c r="N224" s="125"/>
      <c r="O224" s="125"/>
    </row>
    <row r="225" spans="13:15" ht="19.5" customHeight="1">
      <c r="M225" s="149" t="str">
        <f t="shared" si="3"/>
        <v>-</v>
      </c>
      <c r="N225" s="125"/>
      <c r="O225" s="125"/>
    </row>
    <row r="226" spans="13:15" ht="19.5" customHeight="1">
      <c r="M226" s="149" t="str">
        <f t="shared" si="3"/>
        <v>-</v>
      </c>
      <c r="N226" s="125"/>
      <c r="O226" s="125"/>
    </row>
    <row r="227" spans="13:15" ht="19.5" customHeight="1">
      <c r="M227" s="149" t="str">
        <f t="shared" si="3"/>
        <v>-</v>
      </c>
      <c r="N227" s="125"/>
      <c r="O227" s="125"/>
    </row>
    <row r="228" spans="13:15" ht="19.5" customHeight="1">
      <c r="M228" s="149" t="str">
        <f t="shared" si="3"/>
        <v>-</v>
      </c>
      <c r="N228" s="125"/>
      <c r="O228" s="125"/>
    </row>
    <row r="229" spans="13:15" ht="19.5" customHeight="1">
      <c r="M229" s="149" t="str">
        <f t="shared" si="3"/>
        <v>-</v>
      </c>
      <c r="N229" s="125"/>
      <c r="O229" s="125"/>
    </row>
    <row r="230" spans="13:15" ht="19.5" customHeight="1">
      <c r="M230" s="149" t="str">
        <f t="shared" si="3"/>
        <v>-</v>
      </c>
      <c r="N230" s="125"/>
      <c r="O230" s="125"/>
    </row>
    <row r="231" spans="13:15" ht="19.5" customHeight="1">
      <c r="M231" s="149" t="str">
        <f t="shared" si="3"/>
        <v>-</v>
      </c>
      <c r="N231" s="125"/>
      <c r="O231" s="125"/>
    </row>
    <row r="232" spans="13:15" ht="19.5" customHeight="1">
      <c r="M232" s="149" t="str">
        <f t="shared" si="3"/>
        <v>-</v>
      </c>
      <c r="N232" s="125"/>
      <c r="O232" s="125"/>
    </row>
    <row r="233" spans="13:15" ht="19.5" customHeight="1">
      <c r="M233" s="149" t="str">
        <f t="shared" si="3"/>
        <v>-</v>
      </c>
      <c r="N233" s="125"/>
      <c r="O233" s="125"/>
    </row>
    <row r="234" spans="13:15" ht="19.5" customHeight="1">
      <c r="M234" s="149" t="str">
        <f t="shared" si="3"/>
        <v>-</v>
      </c>
      <c r="N234" s="125"/>
      <c r="O234" s="125"/>
    </row>
    <row r="235" spans="13:15" ht="19.5" customHeight="1">
      <c r="M235" s="149" t="str">
        <f t="shared" si="3"/>
        <v>-</v>
      </c>
      <c r="N235" s="125"/>
      <c r="O235" s="125"/>
    </row>
    <row r="236" spans="13:15" ht="19.5" customHeight="1">
      <c r="M236" s="149" t="str">
        <f t="shared" si="3"/>
        <v>-</v>
      </c>
      <c r="N236" s="125"/>
      <c r="O236" s="125"/>
    </row>
    <row r="237" spans="13:15" ht="19.5" customHeight="1">
      <c r="M237" s="149" t="str">
        <f t="shared" si="3"/>
        <v>-</v>
      </c>
      <c r="N237" s="125"/>
      <c r="O237" s="125"/>
    </row>
    <row r="238" spans="13:15" ht="19.5" customHeight="1">
      <c r="M238" s="149" t="str">
        <f t="shared" si="3"/>
        <v>-</v>
      </c>
      <c r="N238" s="125"/>
      <c r="O238" s="125"/>
    </row>
    <row r="239" spans="13:15" ht="19.5" customHeight="1">
      <c r="M239" s="149" t="str">
        <f t="shared" si="3"/>
        <v>-</v>
      </c>
      <c r="N239" s="125"/>
      <c r="O239" s="125"/>
    </row>
    <row r="240" spans="13:15" ht="19.5" customHeight="1">
      <c r="M240" s="149" t="str">
        <f t="shared" si="3"/>
        <v>-</v>
      </c>
      <c r="N240" s="125"/>
      <c r="O240" s="125"/>
    </row>
    <row r="241" spans="13:15" ht="19.5" customHeight="1">
      <c r="M241" s="149" t="str">
        <f t="shared" si="3"/>
        <v>-</v>
      </c>
      <c r="N241" s="125"/>
      <c r="O241" s="125"/>
    </row>
    <row r="242" spans="13:15" ht="19.5" customHeight="1">
      <c r="M242" s="149" t="str">
        <f t="shared" si="3"/>
        <v>-</v>
      </c>
      <c r="N242" s="125"/>
      <c r="O242" s="125"/>
    </row>
    <row r="243" spans="13:15" ht="19.5" customHeight="1">
      <c r="M243" s="149" t="str">
        <f t="shared" si="3"/>
        <v>-</v>
      </c>
      <c r="N243" s="125"/>
      <c r="O243" s="125"/>
    </row>
    <row r="244" spans="13:15" ht="19.5" customHeight="1">
      <c r="M244" s="149" t="str">
        <f t="shared" si="3"/>
        <v>-</v>
      </c>
      <c r="N244" s="125"/>
      <c r="O244" s="125"/>
    </row>
    <row r="245" spans="13:15" ht="19.5" customHeight="1">
      <c r="M245" s="149" t="str">
        <f t="shared" si="3"/>
        <v>-</v>
      </c>
      <c r="N245" s="125"/>
      <c r="O245" s="125"/>
    </row>
    <row r="246" spans="13:15" ht="19.5" customHeight="1">
      <c r="M246" s="149" t="str">
        <f t="shared" si="3"/>
        <v>-</v>
      </c>
      <c r="N246" s="125"/>
      <c r="O246" s="125"/>
    </row>
    <row r="247" spans="13:15" ht="19.5" customHeight="1">
      <c r="M247" s="149" t="str">
        <f t="shared" si="3"/>
        <v>-</v>
      </c>
      <c r="N247" s="125"/>
      <c r="O247" s="125"/>
    </row>
    <row r="248" spans="13:15" ht="19.5" customHeight="1">
      <c r="M248" s="149" t="str">
        <f t="shared" si="3"/>
        <v>-</v>
      </c>
      <c r="N248" s="125"/>
      <c r="O248" s="125"/>
    </row>
    <row r="249" spans="13:15" ht="19.5" customHeight="1">
      <c r="M249" s="149" t="str">
        <f t="shared" si="3"/>
        <v>-</v>
      </c>
      <c r="N249" s="125"/>
      <c r="O249" s="125"/>
    </row>
    <row r="250" spans="13:15" ht="19.5" customHeight="1">
      <c r="M250" s="149" t="str">
        <f t="shared" si="3"/>
        <v>-</v>
      </c>
      <c r="N250" s="125"/>
      <c r="O250" s="125"/>
    </row>
    <row r="251" spans="13:15" ht="19.5" customHeight="1">
      <c r="M251" s="149" t="str">
        <f t="shared" si="3"/>
        <v>-</v>
      </c>
      <c r="N251" s="125"/>
      <c r="O251" s="125"/>
    </row>
    <row r="252" spans="13:15" ht="19.5" customHeight="1">
      <c r="M252" s="149" t="str">
        <f t="shared" si="3"/>
        <v>-</v>
      </c>
      <c r="N252" s="125"/>
      <c r="O252" s="125"/>
    </row>
    <row r="253" spans="13:15" ht="19.5" customHeight="1">
      <c r="M253" s="149" t="str">
        <f t="shared" si="3"/>
        <v>-</v>
      </c>
      <c r="N253" s="125"/>
      <c r="O253" s="125"/>
    </row>
    <row r="254" spans="13:15" ht="19.5" customHeight="1">
      <c r="M254" s="149" t="str">
        <f t="shared" si="3"/>
        <v>-</v>
      </c>
      <c r="N254" s="125"/>
      <c r="O254" s="125"/>
    </row>
    <row r="255" spans="13:15" ht="19.5" customHeight="1">
      <c r="M255" s="149" t="str">
        <f t="shared" si="3"/>
        <v>-</v>
      </c>
      <c r="N255" s="125"/>
      <c r="O255" s="125"/>
    </row>
    <row r="256" spans="13:15" ht="19.5" customHeight="1">
      <c r="M256" s="149" t="str">
        <f t="shared" si="3"/>
        <v>-</v>
      </c>
      <c r="N256" s="125"/>
      <c r="O256" s="125"/>
    </row>
    <row r="257" spans="13:15" ht="19.5" customHeight="1">
      <c r="M257" s="149" t="str">
        <f t="shared" si="3"/>
        <v>-</v>
      </c>
      <c r="N257" s="125"/>
      <c r="O257" s="125"/>
    </row>
    <row r="258" spans="13:15" ht="19.5" customHeight="1">
      <c r="M258" s="149" t="str">
        <f t="shared" si="3"/>
        <v>-</v>
      </c>
      <c r="N258" s="125"/>
      <c r="O258" s="125"/>
    </row>
    <row r="259" spans="13:15" ht="19.5" customHeight="1">
      <c r="M259" s="149" t="str">
        <f t="shared" si="3"/>
        <v>-</v>
      </c>
      <c r="N259" s="125"/>
      <c r="O259" s="125"/>
    </row>
    <row r="260" spans="13:15" ht="19.5" customHeight="1">
      <c r="M260" s="149" t="str">
        <f t="shared" si="3"/>
        <v>-</v>
      </c>
      <c r="N260" s="125"/>
      <c r="O260" s="125"/>
    </row>
    <row r="261" spans="13:15" ht="19.5" customHeight="1">
      <c r="M261" s="149" t="str">
        <f>IFERROR((K261-J261)/(I261-H261),"-")</f>
        <v>-</v>
      </c>
      <c r="N261" s="125"/>
      <c r="O261" s="125"/>
    </row>
    <row r="262" spans="13:15" ht="19.5" customHeight="1">
      <c r="M262" s="149" t="str">
        <f t="shared" ref="M262:M325" si="4">IFERROR((K262-J262)/(I262-H262),"-")</f>
        <v>-</v>
      </c>
      <c r="N262" s="125"/>
      <c r="O262" s="125"/>
    </row>
    <row r="263" spans="13:15" ht="19.5" customHeight="1">
      <c r="M263" s="149" t="str">
        <f t="shared" si="4"/>
        <v>-</v>
      </c>
      <c r="N263" s="125"/>
      <c r="O263" s="125"/>
    </row>
    <row r="264" spans="13:15" ht="19.5" customHeight="1">
      <c r="M264" s="149" t="str">
        <f t="shared" si="4"/>
        <v>-</v>
      </c>
      <c r="N264" s="125"/>
      <c r="O264" s="125"/>
    </row>
    <row r="265" spans="13:15" ht="19.5" customHeight="1">
      <c r="M265" s="149" t="str">
        <f t="shared" si="4"/>
        <v>-</v>
      </c>
      <c r="N265" s="125"/>
      <c r="O265" s="125"/>
    </row>
    <row r="266" spans="13:15" ht="19.5" customHeight="1">
      <c r="M266" s="149" t="str">
        <f t="shared" si="4"/>
        <v>-</v>
      </c>
      <c r="N266" s="125"/>
      <c r="O266" s="125"/>
    </row>
    <row r="267" spans="13:15" ht="19.5" customHeight="1">
      <c r="M267" s="149" t="str">
        <f t="shared" si="4"/>
        <v>-</v>
      </c>
      <c r="N267" s="125"/>
      <c r="O267" s="125"/>
    </row>
    <row r="268" spans="13:15" ht="19.5" customHeight="1">
      <c r="M268" s="149" t="str">
        <f t="shared" si="4"/>
        <v>-</v>
      </c>
      <c r="N268" s="125"/>
      <c r="O268" s="125"/>
    </row>
    <row r="269" spans="13:15" ht="19.5" customHeight="1">
      <c r="M269" s="149" t="str">
        <f t="shared" si="4"/>
        <v>-</v>
      </c>
      <c r="N269" s="125"/>
      <c r="O269" s="125"/>
    </row>
    <row r="270" spans="13:15" ht="19.5" customHeight="1">
      <c r="M270" s="149" t="str">
        <f t="shared" si="4"/>
        <v>-</v>
      </c>
      <c r="N270" s="125"/>
      <c r="O270" s="125"/>
    </row>
    <row r="271" spans="13:15" ht="19.5" customHeight="1">
      <c r="M271" s="149" t="str">
        <f t="shared" si="4"/>
        <v>-</v>
      </c>
      <c r="N271" s="125"/>
      <c r="O271" s="125"/>
    </row>
    <row r="272" spans="13:15" ht="19.5" customHeight="1">
      <c r="M272" s="149" t="str">
        <f t="shared" si="4"/>
        <v>-</v>
      </c>
      <c r="N272" s="125"/>
      <c r="O272" s="125"/>
    </row>
    <row r="273" spans="13:15" ht="19.5" customHeight="1">
      <c r="M273" s="149" t="str">
        <f t="shared" si="4"/>
        <v>-</v>
      </c>
      <c r="N273" s="125"/>
      <c r="O273" s="125"/>
    </row>
    <row r="274" spans="13:15" ht="19.5" customHeight="1">
      <c r="M274" s="149" t="str">
        <f t="shared" si="4"/>
        <v>-</v>
      </c>
      <c r="N274" s="125"/>
      <c r="O274" s="125"/>
    </row>
    <row r="275" spans="13:15" ht="19.5" customHeight="1">
      <c r="M275" s="149" t="str">
        <f t="shared" si="4"/>
        <v>-</v>
      </c>
      <c r="N275" s="125"/>
      <c r="O275" s="125"/>
    </row>
    <row r="276" spans="13:15" ht="19.5" customHeight="1">
      <c r="M276" s="149" t="str">
        <f t="shared" si="4"/>
        <v>-</v>
      </c>
      <c r="N276" s="125"/>
      <c r="O276" s="125"/>
    </row>
    <row r="277" spans="13:15" ht="19.5" customHeight="1">
      <c r="M277" s="149" t="str">
        <f t="shared" si="4"/>
        <v>-</v>
      </c>
      <c r="N277" s="125"/>
      <c r="O277" s="125"/>
    </row>
    <row r="278" spans="13:15" ht="19.5" customHeight="1">
      <c r="M278" s="149" t="str">
        <f t="shared" si="4"/>
        <v>-</v>
      </c>
      <c r="N278" s="125"/>
      <c r="O278" s="125"/>
    </row>
    <row r="279" spans="13:15" ht="19.5" customHeight="1">
      <c r="M279" s="149" t="str">
        <f t="shared" si="4"/>
        <v>-</v>
      </c>
      <c r="N279" s="125"/>
      <c r="O279" s="125"/>
    </row>
    <row r="280" spans="13:15" ht="19.5" customHeight="1">
      <c r="M280" s="149" t="str">
        <f t="shared" si="4"/>
        <v>-</v>
      </c>
      <c r="N280" s="125"/>
      <c r="O280" s="125"/>
    </row>
    <row r="281" spans="13:15" ht="19.5" customHeight="1">
      <c r="M281" s="149" t="str">
        <f t="shared" si="4"/>
        <v>-</v>
      </c>
      <c r="N281" s="125"/>
      <c r="O281" s="125"/>
    </row>
    <row r="282" spans="13:15" ht="19.5" customHeight="1">
      <c r="M282" s="149" t="str">
        <f t="shared" si="4"/>
        <v>-</v>
      </c>
      <c r="N282" s="125"/>
      <c r="O282" s="125"/>
    </row>
    <row r="283" spans="13:15" ht="19.5" customHeight="1">
      <c r="M283" s="149" t="str">
        <f t="shared" si="4"/>
        <v>-</v>
      </c>
      <c r="N283" s="125"/>
      <c r="O283" s="125"/>
    </row>
    <row r="284" spans="13:15" ht="19.5" customHeight="1">
      <c r="M284" s="149" t="str">
        <f t="shared" si="4"/>
        <v>-</v>
      </c>
      <c r="N284" s="125"/>
      <c r="O284" s="125"/>
    </row>
    <row r="285" spans="13:15" ht="19.5" customHeight="1">
      <c r="M285" s="149" t="str">
        <f t="shared" si="4"/>
        <v>-</v>
      </c>
      <c r="N285" s="125"/>
      <c r="O285" s="125"/>
    </row>
    <row r="286" spans="13:15" ht="19.5" customHeight="1">
      <c r="M286" s="149" t="str">
        <f t="shared" si="4"/>
        <v>-</v>
      </c>
      <c r="N286" s="125"/>
      <c r="O286" s="125"/>
    </row>
    <row r="287" spans="13:15" ht="19.5" customHeight="1">
      <c r="M287" s="149" t="str">
        <f t="shared" si="4"/>
        <v>-</v>
      </c>
      <c r="N287" s="125"/>
      <c r="O287" s="125"/>
    </row>
    <row r="288" spans="13:15" ht="19.5" customHeight="1">
      <c r="M288" s="149" t="str">
        <f t="shared" si="4"/>
        <v>-</v>
      </c>
      <c r="N288" s="125"/>
      <c r="O288" s="125"/>
    </row>
    <row r="289" spans="13:15" ht="19.5" customHeight="1">
      <c r="M289" s="149" t="str">
        <f t="shared" si="4"/>
        <v>-</v>
      </c>
      <c r="N289" s="125"/>
      <c r="O289" s="125"/>
    </row>
    <row r="290" spans="13:15" ht="19.5" customHeight="1">
      <c r="M290" s="149" t="str">
        <f t="shared" si="4"/>
        <v>-</v>
      </c>
      <c r="N290" s="125"/>
      <c r="O290" s="125"/>
    </row>
    <row r="291" spans="13:15" ht="19.5" customHeight="1">
      <c r="M291" s="149" t="str">
        <f t="shared" si="4"/>
        <v>-</v>
      </c>
      <c r="N291" s="125"/>
      <c r="O291" s="125"/>
    </row>
    <row r="292" spans="13:15" ht="19.5" customHeight="1">
      <c r="M292" s="149" t="str">
        <f t="shared" si="4"/>
        <v>-</v>
      </c>
      <c r="N292" s="125"/>
      <c r="O292" s="125"/>
    </row>
    <row r="293" spans="13:15" ht="19.5" customHeight="1">
      <c r="M293" s="149" t="str">
        <f t="shared" si="4"/>
        <v>-</v>
      </c>
      <c r="N293" s="125"/>
      <c r="O293" s="125"/>
    </row>
    <row r="294" spans="13:15" ht="19.5" customHeight="1">
      <c r="M294" s="149" t="str">
        <f t="shared" si="4"/>
        <v>-</v>
      </c>
      <c r="N294" s="125"/>
      <c r="O294" s="125"/>
    </row>
    <row r="295" spans="13:15" ht="19.5" customHeight="1">
      <c r="M295" s="149" t="str">
        <f t="shared" si="4"/>
        <v>-</v>
      </c>
      <c r="N295" s="125"/>
      <c r="O295" s="125"/>
    </row>
    <row r="296" spans="13:15" ht="19.5" customHeight="1">
      <c r="M296" s="149" t="str">
        <f t="shared" si="4"/>
        <v>-</v>
      </c>
      <c r="N296" s="125"/>
      <c r="O296" s="125"/>
    </row>
    <row r="297" spans="13:15" ht="19.5" customHeight="1">
      <c r="M297" s="149" t="str">
        <f t="shared" si="4"/>
        <v>-</v>
      </c>
      <c r="N297" s="125"/>
      <c r="O297" s="125"/>
    </row>
    <row r="298" spans="13:15" ht="19.5" customHeight="1">
      <c r="M298" s="149" t="str">
        <f t="shared" si="4"/>
        <v>-</v>
      </c>
      <c r="N298" s="125"/>
      <c r="O298" s="125"/>
    </row>
    <row r="299" spans="13:15" ht="19.5" customHeight="1">
      <c r="M299" s="149" t="str">
        <f t="shared" si="4"/>
        <v>-</v>
      </c>
      <c r="N299" s="125"/>
      <c r="O299" s="125"/>
    </row>
    <row r="300" spans="13:15" ht="19.5" customHeight="1">
      <c r="M300" s="149" t="str">
        <f t="shared" si="4"/>
        <v>-</v>
      </c>
      <c r="N300" s="125"/>
      <c r="O300" s="125"/>
    </row>
    <row r="301" spans="13:15" ht="19.5" customHeight="1">
      <c r="M301" s="149" t="str">
        <f t="shared" si="4"/>
        <v>-</v>
      </c>
      <c r="N301" s="125"/>
      <c r="O301" s="125"/>
    </row>
    <row r="302" spans="13:15" ht="19.5" customHeight="1">
      <c r="M302" s="149" t="str">
        <f t="shared" si="4"/>
        <v>-</v>
      </c>
      <c r="N302" s="125"/>
      <c r="O302" s="125"/>
    </row>
    <row r="303" spans="13:15" ht="19.5" customHeight="1">
      <c r="M303" s="149" t="str">
        <f t="shared" si="4"/>
        <v>-</v>
      </c>
      <c r="N303" s="125"/>
      <c r="O303" s="125"/>
    </row>
    <row r="304" spans="13:15" ht="19.5" customHeight="1">
      <c r="M304" s="149" t="str">
        <f t="shared" si="4"/>
        <v>-</v>
      </c>
      <c r="N304" s="125"/>
      <c r="O304" s="125"/>
    </row>
    <row r="305" spans="13:15" ht="19.5" customHeight="1">
      <c r="M305" s="149" t="str">
        <f t="shared" si="4"/>
        <v>-</v>
      </c>
      <c r="N305" s="125"/>
      <c r="O305" s="125"/>
    </row>
    <row r="306" spans="13:15" ht="19.5" customHeight="1">
      <c r="M306" s="149" t="str">
        <f t="shared" si="4"/>
        <v>-</v>
      </c>
      <c r="N306" s="125"/>
      <c r="O306" s="125"/>
    </row>
    <row r="307" spans="13:15" ht="19.5" customHeight="1">
      <c r="M307" s="149" t="str">
        <f t="shared" si="4"/>
        <v>-</v>
      </c>
      <c r="N307" s="125"/>
      <c r="O307" s="125"/>
    </row>
    <row r="308" spans="13:15" ht="19.5" customHeight="1">
      <c r="M308" s="149" t="str">
        <f t="shared" si="4"/>
        <v>-</v>
      </c>
      <c r="N308" s="125"/>
      <c r="O308" s="125"/>
    </row>
    <row r="309" spans="13:15" ht="19.5" customHeight="1">
      <c r="M309" s="149" t="str">
        <f t="shared" si="4"/>
        <v>-</v>
      </c>
      <c r="N309" s="125"/>
      <c r="O309" s="125"/>
    </row>
    <row r="310" spans="13:15" ht="19.5" customHeight="1">
      <c r="M310" s="149" t="str">
        <f t="shared" si="4"/>
        <v>-</v>
      </c>
      <c r="N310" s="125"/>
      <c r="O310" s="125"/>
    </row>
    <row r="311" spans="13:15" ht="19.5" customHeight="1">
      <c r="M311" s="149" t="str">
        <f t="shared" si="4"/>
        <v>-</v>
      </c>
      <c r="N311" s="125"/>
      <c r="O311" s="125"/>
    </row>
    <row r="312" spans="13:15" ht="19.5" customHeight="1">
      <c r="M312" s="149" t="str">
        <f t="shared" si="4"/>
        <v>-</v>
      </c>
      <c r="N312" s="125"/>
      <c r="O312" s="125"/>
    </row>
    <row r="313" spans="13:15" ht="19.5" customHeight="1">
      <c r="M313" s="149" t="str">
        <f t="shared" si="4"/>
        <v>-</v>
      </c>
      <c r="N313" s="125"/>
      <c r="O313" s="125"/>
    </row>
    <row r="314" spans="13:15" ht="19.5" customHeight="1">
      <c r="M314" s="149" t="str">
        <f t="shared" si="4"/>
        <v>-</v>
      </c>
      <c r="N314" s="125"/>
      <c r="O314" s="125"/>
    </row>
    <row r="315" spans="13:15" ht="19.5" customHeight="1">
      <c r="M315" s="149" t="str">
        <f t="shared" si="4"/>
        <v>-</v>
      </c>
      <c r="N315" s="125"/>
      <c r="O315" s="125"/>
    </row>
    <row r="316" spans="13:15" ht="19.5" customHeight="1">
      <c r="M316" s="149" t="str">
        <f t="shared" si="4"/>
        <v>-</v>
      </c>
      <c r="N316" s="125"/>
      <c r="O316" s="125"/>
    </row>
    <row r="317" spans="13:15" ht="19.5" customHeight="1">
      <c r="M317" s="149" t="str">
        <f t="shared" si="4"/>
        <v>-</v>
      </c>
      <c r="N317" s="125"/>
      <c r="O317" s="125"/>
    </row>
    <row r="318" spans="13:15" ht="19.5" customHeight="1">
      <c r="M318" s="149" t="str">
        <f t="shared" si="4"/>
        <v>-</v>
      </c>
      <c r="N318" s="125"/>
      <c r="O318" s="125"/>
    </row>
    <row r="319" spans="13:15" ht="19.5" customHeight="1">
      <c r="M319" s="149" t="str">
        <f t="shared" si="4"/>
        <v>-</v>
      </c>
      <c r="N319" s="125"/>
      <c r="O319" s="125"/>
    </row>
    <row r="320" spans="13:15" ht="19.5" customHeight="1">
      <c r="M320" s="149" t="str">
        <f t="shared" si="4"/>
        <v>-</v>
      </c>
      <c r="N320" s="125"/>
      <c r="O320" s="125"/>
    </row>
    <row r="321" spans="13:15" ht="19.5" customHeight="1">
      <c r="M321" s="149" t="str">
        <f t="shared" si="4"/>
        <v>-</v>
      </c>
      <c r="N321" s="125"/>
      <c r="O321" s="125"/>
    </row>
    <row r="322" spans="13:15" ht="19.5" customHeight="1">
      <c r="M322" s="149" t="str">
        <f t="shared" si="4"/>
        <v>-</v>
      </c>
      <c r="N322" s="125"/>
      <c r="O322" s="125"/>
    </row>
    <row r="323" spans="13:15" ht="19.5" customHeight="1">
      <c r="M323" s="149" t="str">
        <f t="shared" si="4"/>
        <v>-</v>
      </c>
      <c r="N323" s="125"/>
      <c r="O323" s="125"/>
    </row>
    <row r="324" spans="13:15" ht="19.5" customHeight="1">
      <c r="M324" s="149" t="str">
        <f t="shared" si="4"/>
        <v>-</v>
      </c>
      <c r="N324" s="125"/>
      <c r="O324" s="125"/>
    </row>
    <row r="325" spans="13:15" ht="19.5" customHeight="1">
      <c r="M325" s="149" t="str">
        <f t="shared" si="4"/>
        <v>-</v>
      </c>
      <c r="N325" s="125"/>
      <c r="O325" s="125"/>
    </row>
    <row r="326" spans="13:15" ht="19.5" customHeight="1">
      <c r="M326" s="149" t="str">
        <f t="shared" ref="M326:M389" si="5">IFERROR((K326-J326)/(I326-H326),"-")</f>
        <v>-</v>
      </c>
      <c r="N326" s="125"/>
      <c r="O326" s="125"/>
    </row>
    <row r="327" spans="13:15" ht="19.5" customHeight="1">
      <c r="M327" s="149" t="str">
        <f t="shared" si="5"/>
        <v>-</v>
      </c>
      <c r="N327" s="125"/>
      <c r="O327" s="125"/>
    </row>
    <row r="328" spans="13:15" ht="19.5" customHeight="1">
      <c r="M328" s="149" t="str">
        <f t="shared" si="5"/>
        <v>-</v>
      </c>
      <c r="N328" s="125"/>
      <c r="O328" s="125"/>
    </row>
    <row r="329" spans="13:15" ht="19.5" customHeight="1">
      <c r="M329" s="149" t="str">
        <f t="shared" si="5"/>
        <v>-</v>
      </c>
      <c r="N329" s="125"/>
      <c r="O329" s="125"/>
    </row>
    <row r="330" spans="13:15" ht="19.5" customHeight="1">
      <c r="M330" s="149" t="str">
        <f t="shared" si="5"/>
        <v>-</v>
      </c>
      <c r="N330" s="125"/>
      <c r="O330" s="125"/>
    </row>
    <row r="331" spans="13:15" ht="19.5" customHeight="1">
      <c r="M331" s="149" t="str">
        <f t="shared" si="5"/>
        <v>-</v>
      </c>
      <c r="N331" s="125"/>
      <c r="O331" s="125"/>
    </row>
    <row r="332" spans="13:15" ht="19.5" customHeight="1">
      <c r="M332" s="149" t="str">
        <f t="shared" si="5"/>
        <v>-</v>
      </c>
      <c r="N332" s="125"/>
      <c r="O332" s="125"/>
    </row>
    <row r="333" spans="13:15" ht="19.5" customHeight="1">
      <c r="M333" s="149" t="str">
        <f t="shared" si="5"/>
        <v>-</v>
      </c>
      <c r="N333" s="125"/>
      <c r="O333" s="125"/>
    </row>
    <row r="334" spans="13:15" ht="19.5" customHeight="1">
      <c r="M334" s="149" t="str">
        <f t="shared" si="5"/>
        <v>-</v>
      </c>
      <c r="N334" s="125"/>
      <c r="O334" s="125"/>
    </row>
    <row r="335" spans="13:15" ht="19.5" customHeight="1">
      <c r="M335" s="149" t="str">
        <f t="shared" si="5"/>
        <v>-</v>
      </c>
      <c r="N335" s="125"/>
      <c r="O335" s="125"/>
    </row>
    <row r="336" spans="13:15" ht="19.5" customHeight="1">
      <c r="M336" s="149" t="str">
        <f t="shared" si="5"/>
        <v>-</v>
      </c>
      <c r="N336" s="125"/>
      <c r="O336" s="125"/>
    </row>
    <row r="337" spans="13:15" ht="19.5" customHeight="1">
      <c r="M337" s="149" t="str">
        <f t="shared" si="5"/>
        <v>-</v>
      </c>
      <c r="N337" s="125"/>
      <c r="O337" s="125"/>
    </row>
    <row r="338" spans="13:15" ht="19.5" customHeight="1">
      <c r="M338" s="149" t="str">
        <f t="shared" si="5"/>
        <v>-</v>
      </c>
      <c r="N338" s="125"/>
      <c r="O338" s="125"/>
    </row>
    <row r="339" spans="13:15" ht="19.5" customHeight="1">
      <c r="M339" s="149" t="str">
        <f t="shared" si="5"/>
        <v>-</v>
      </c>
      <c r="N339" s="125"/>
      <c r="O339" s="125"/>
    </row>
    <row r="340" spans="13:15" ht="19.5" customHeight="1">
      <c r="M340" s="149" t="str">
        <f t="shared" si="5"/>
        <v>-</v>
      </c>
      <c r="N340" s="125"/>
      <c r="O340" s="125"/>
    </row>
    <row r="341" spans="13:15" ht="19.5" customHeight="1">
      <c r="M341" s="149" t="str">
        <f t="shared" si="5"/>
        <v>-</v>
      </c>
      <c r="N341" s="125"/>
      <c r="O341" s="125"/>
    </row>
    <row r="342" spans="13:15" ht="19.5" customHeight="1">
      <c r="M342" s="149" t="str">
        <f t="shared" si="5"/>
        <v>-</v>
      </c>
      <c r="N342" s="125"/>
      <c r="O342" s="125"/>
    </row>
    <row r="343" spans="13:15" ht="19.5" customHeight="1">
      <c r="M343" s="149" t="str">
        <f t="shared" si="5"/>
        <v>-</v>
      </c>
      <c r="N343" s="125"/>
      <c r="O343" s="125"/>
    </row>
    <row r="344" spans="13:15" ht="19.5" customHeight="1">
      <c r="M344" s="149" t="str">
        <f t="shared" si="5"/>
        <v>-</v>
      </c>
      <c r="N344" s="125"/>
      <c r="O344" s="125"/>
    </row>
    <row r="345" spans="13:15" ht="19.5" customHeight="1">
      <c r="M345" s="149" t="str">
        <f t="shared" si="5"/>
        <v>-</v>
      </c>
      <c r="N345" s="125"/>
      <c r="O345" s="125"/>
    </row>
    <row r="346" spans="13:15" ht="19.5" customHeight="1">
      <c r="M346" s="149" t="str">
        <f t="shared" si="5"/>
        <v>-</v>
      </c>
      <c r="N346" s="125"/>
      <c r="O346" s="125"/>
    </row>
    <row r="347" spans="13:15" ht="19.5" customHeight="1">
      <c r="M347" s="149" t="str">
        <f t="shared" si="5"/>
        <v>-</v>
      </c>
      <c r="N347" s="125"/>
      <c r="O347" s="125"/>
    </row>
    <row r="348" spans="13:15" ht="19.5" customHeight="1">
      <c r="M348" s="149" t="str">
        <f t="shared" si="5"/>
        <v>-</v>
      </c>
      <c r="N348" s="125"/>
      <c r="O348" s="125"/>
    </row>
    <row r="349" spans="13:15" ht="19.5" customHeight="1">
      <c r="M349" s="149" t="str">
        <f t="shared" si="5"/>
        <v>-</v>
      </c>
      <c r="N349" s="125"/>
      <c r="O349" s="125"/>
    </row>
    <row r="350" spans="13:15" ht="19.5" customHeight="1">
      <c r="M350" s="149" t="str">
        <f t="shared" si="5"/>
        <v>-</v>
      </c>
      <c r="N350" s="125"/>
      <c r="O350" s="125"/>
    </row>
    <row r="351" spans="13:15" ht="19.5" customHeight="1">
      <c r="M351" s="149" t="str">
        <f t="shared" si="5"/>
        <v>-</v>
      </c>
      <c r="N351" s="125"/>
      <c r="O351" s="125"/>
    </row>
    <row r="352" spans="13:15" ht="19.5" customHeight="1">
      <c r="M352" s="149" t="str">
        <f t="shared" si="5"/>
        <v>-</v>
      </c>
      <c r="N352" s="125"/>
      <c r="O352" s="125"/>
    </row>
    <row r="353" spans="13:15" ht="19.5" customHeight="1">
      <c r="M353" s="149" t="str">
        <f t="shared" si="5"/>
        <v>-</v>
      </c>
      <c r="N353" s="125"/>
      <c r="O353" s="125"/>
    </row>
    <row r="354" spans="13:15" ht="19.5" customHeight="1">
      <c r="M354" s="149" t="str">
        <f t="shared" si="5"/>
        <v>-</v>
      </c>
      <c r="N354" s="125"/>
      <c r="O354" s="125"/>
    </row>
    <row r="355" spans="13:15" ht="19.5" customHeight="1">
      <c r="M355" s="149" t="str">
        <f t="shared" si="5"/>
        <v>-</v>
      </c>
      <c r="N355" s="125"/>
      <c r="O355" s="125"/>
    </row>
    <row r="356" spans="13:15" ht="19.5" customHeight="1">
      <c r="M356" s="149" t="str">
        <f t="shared" si="5"/>
        <v>-</v>
      </c>
      <c r="N356" s="125"/>
      <c r="O356" s="125"/>
    </row>
    <row r="357" spans="13:15" ht="19.5" customHeight="1">
      <c r="M357" s="149" t="str">
        <f t="shared" si="5"/>
        <v>-</v>
      </c>
      <c r="N357" s="125"/>
      <c r="O357" s="125"/>
    </row>
    <row r="358" spans="13:15" ht="19.5" customHeight="1">
      <c r="M358" s="149" t="str">
        <f t="shared" si="5"/>
        <v>-</v>
      </c>
      <c r="N358" s="125"/>
      <c r="O358" s="125"/>
    </row>
    <row r="359" spans="13:15" ht="19.5" customHeight="1">
      <c r="M359" s="149" t="str">
        <f t="shared" si="5"/>
        <v>-</v>
      </c>
      <c r="N359" s="125"/>
      <c r="O359" s="125"/>
    </row>
    <row r="360" spans="13:15" ht="19.5" customHeight="1">
      <c r="M360" s="149" t="str">
        <f t="shared" si="5"/>
        <v>-</v>
      </c>
      <c r="N360" s="125"/>
      <c r="O360" s="125"/>
    </row>
    <row r="361" spans="13:15" ht="19.5" customHeight="1">
      <c r="M361" s="149" t="str">
        <f t="shared" si="5"/>
        <v>-</v>
      </c>
      <c r="N361" s="125"/>
      <c r="O361" s="125"/>
    </row>
    <row r="362" spans="13:15" ht="19.5" customHeight="1">
      <c r="M362" s="149" t="str">
        <f t="shared" si="5"/>
        <v>-</v>
      </c>
      <c r="N362" s="125"/>
      <c r="O362" s="125"/>
    </row>
    <row r="363" spans="13:15" ht="19.5" customHeight="1">
      <c r="M363" s="149" t="str">
        <f t="shared" si="5"/>
        <v>-</v>
      </c>
      <c r="N363" s="125"/>
      <c r="O363" s="125"/>
    </row>
    <row r="364" spans="13:15" ht="19.5" customHeight="1">
      <c r="M364" s="149" t="str">
        <f t="shared" si="5"/>
        <v>-</v>
      </c>
      <c r="N364" s="125"/>
      <c r="O364" s="125"/>
    </row>
    <row r="365" spans="13:15" ht="19.5" customHeight="1">
      <c r="M365" s="149" t="str">
        <f t="shared" si="5"/>
        <v>-</v>
      </c>
      <c r="N365" s="125"/>
      <c r="O365" s="125"/>
    </row>
    <row r="366" spans="13:15" ht="19.5" customHeight="1">
      <c r="M366" s="149" t="str">
        <f t="shared" si="5"/>
        <v>-</v>
      </c>
      <c r="N366" s="125"/>
      <c r="O366" s="125"/>
    </row>
    <row r="367" spans="13:15" ht="19.5" customHeight="1">
      <c r="M367" s="149" t="str">
        <f t="shared" si="5"/>
        <v>-</v>
      </c>
      <c r="N367" s="125"/>
      <c r="O367" s="125"/>
    </row>
    <row r="368" spans="13:15" ht="19.5" customHeight="1">
      <c r="M368" s="149" t="str">
        <f t="shared" si="5"/>
        <v>-</v>
      </c>
      <c r="N368" s="125"/>
      <c r="O368" s="125"/>
    </row>
    <row r="369" spans="13:15" ht="19.5" customHeight="1">
      <c r="M369" s="149" t="str">
        <f t="shared" si="5"/>
        <v>-</v>
      </c>
      <c r="N369" s="125"/>
      <c r="O369" s="125"/>
    </row>
    <row r="370" spans="13:15" ht="19.5" customHeight="1">
      <c r="M370" s="149" t="str">
        <f t="shared" si="5"/>
        <v>-</v>
      </c>
      <c r="N370" s="125"/>
      <c r="O370" s="125"/>
    </row>
    <row r="371" spans="13:15" ht="19.5" customHeight="1">
      <c r="M371" s="149" t="str">
        <f t="shared" si="5"/>
        <v>-</v>
      </c>
      <c r="N371" s="125"/>
      <c r="O371" s="125"/>
    </row>
    <row r="372" spans="13:15" ht="19.5" customHeight="1">
      <c r="M372" s="149" t="str">
        <f t="shared" si="5"/>
        <v>-</v>
      </c>
      <c r="N372" s="125"/>
      <c r="O372" s="125"/>
    </row>
    <row r="373" spans="13:15" ht="19.5" customHeight="1">
      <c r="M373" s="149" t="str">
        <f t="shared" si="5"/>
        <v>-</v>
      </c>
      <c r="N373" s="125"/>
      <c r="O373" s="125"/>
    </row>
    <row r="374" spans="13:15" ht="19.5" customHeight="1">
      <c r="M374" s="149" t="str">
        <f t="shared" si="5"/>
        <v>-</v>
      </c>
      <c r="N374" s="125"/>
      <c r="O374" s="125"/>
    </row>
    <row r="375" spans="13:15" ht="19.5" customHeight="1">
      <c r="M375" s="149" t="str">
        <f t="shared" si="5"/>
        <v>-</v>
      </c>
      <c r="N375" s="125"/>
      <c r="O375" s="125"/>
    </row>
    <row r="376" spans="13:15" ht="19.5" customHeight="1">
      <c r="M376" s="149" t="str">
        <f t="shared" si="5"/>
        <v>-</v>
      </c>
      <c r="N376" s="125"/>
      <c r="O376" s="125"/>
    </row>
    <row r="377" spans="13:15" ht="19.5" customHeight="1">
      <c r="M377" s="149" t="str">
        <f t="shared" si="5"/>
        <v>-</v>
      </c>
      <c r="N377" s="125"/>
      <c r="O377" s="125"/>
    </row>
    <row r="378" spans="13:15" ht="19.5" customHeight="1">
      <c r="M378" s="149" t="str">
        <f t="shared" si="5"/>
        <v>-</v>
      </c>
      <c r="N378" s="125"/>
      <c r="O378" s="125"/>
    </row>
    <row r="379" spans="13:15" ht="19.5" customHeight="1">
      <c r="M379" s="149" t="str">
        <f t="shared" si="5"/>
        <v>-</v>
      </c>
      <c r="N379" s="125"/>
      <c r="O379" s="125"/>
    </row>
    <row r="380" spans="13:15" ht="19.5" customHeight="1">
      <c r="M380" s="149" t="str">
        <f t="shared" si="5"/>
        <v>-</v>
      </c>
      <c r="N380" s="125"/>
      <c r="O380" s="125"/>
    </row>
    <row r="381" spans="13:15" ht="19.5" customHeight="1">
      <c r="M381" s="149" t="str">
        <f t="shared" si="5"/>
        <v>-</v>
      </c>
      <c r="N381" s="125"/>
      <c r="O381" s="125"/>
    </row>
    <row r="382" spans="13:15" ht="19.5" customHeight="1">
      <c r="M382" s="149" t="str">
        <f t="shared" si="5"/>
        <v>-</v>
      </c>
      <c r="N382" s="125"/>
      <c r="O382" s="125"/>
    </row>
    <row r="383" spans="13:15" ht="19.5" customHeight="1">
      <c r="M383" s="149" t="str">
        <f t="shared" si="5"/>
        <v>-</v>
      </c>
      <c r="N383" s="125"/>
      <c r="O383" s="125"/>
    </row>
    <row r="384" spans="13:15" ht="19.5" customHeight="1">
      <c r="M384" s="149" t="str">
        <f t="shared" si="5"/>
        <v>-</v>
      </c>
      <c r="N384" s="125"/>
      <c r="O384" s="125"/>
    </row>
    <row r="385" spans="13:15" ht="19.5" customHeight="1">
      <c r="M385" s="149" t="str">
        <f t="shared" si="5"/>
        <v>-</v>
      </c>
      <c r="N385" s="125"/>
      <c r="O385" s="125"/>
    </row>
    <row r="386" spans="13:15" ht="19.5" customHeight="1">
      <c r="M386" s="149" t="str">
        <f t="shared" si="5"/>
        <v>-</v>
      </c>
      <c r="N386" s="125"/>
      <c r="O386" s="125"/>
    </row>
    <row r="387" spans="13:15" ht="19.5" customHeight="1">
      <c r="M387" s="149" t="str">
        <f t="shared" si="5"/>
        <v>-</v>
      </c>
      <c r="N387" s="125"/>
      <c r="O387" s="125"/>
    </row>
    <row r="388" spans="13:15" ht="19.5" customHeight="1">
      <c r="M388" s="149" t="str">
        <f t="shared" si="5"/>
        <v>-</v>
      </c>
      <c r="N388" s="125"/>
      <c r="O388" s="125"/>
    </row>
    <row r="389" spans="13:15" ht="19.5" customHeight="1">
      <c r="M389" s="149" t="str">
        <f t="shared" si="5"/>
        <v>-</v>
      </c>
      <c r="N389" s="125"/>
      <c r="O389" s="125"/>
    </row>
    <row r="390" spans="13:15" ht="19.5" customHeight="1">
      <c r="M390" s="149" t="str">
        <f t="shared" ref="M390:M453" si="6">IFERROR((K390-J390)/(I390-H390),"-")</f>
        <v>-</v>
      </c>
      <c r="N390" s="125"/>
      <c r="O390" s="125"/>
    </row>
    <row r="391" spans="13:15" ht="19.5" customHeight="1">
      <c r="M391" s="149" t="str">
        <f t="shared" si="6"/>
        <v>-</v>
      </c>
      <c r="N391" s="125"/>
      <c r="O391" s="125"/>
    </row>
    <row r="392" spans="13:15" ht="19.5" customHeight="1">
      <c r="M392" s="149" t="str">
        <f t="shared" si="6"/>
        <v>-</v>
      </c>
      <c r="N392" s="125"/>
      <c r="O392" s="125"/>
    </row>
    <row r="393" spans="13:15" ht="19.5" customHeight="1">
      <c r="M393" s="149" t="str">
        <f t="shared" si="6"/>
        <v>-</v>
      </c>
      <c r="N393" s="125"/>
      <c r="O393" s="125"/>
    </row>
    <row r="394" spans="13:15" ht="19.5" customHeight="1">
      <c r="M394" s="149" t="str">
        <f t="shared" si="6"/>
        <v>-</v>
      </c>
      <c r="N394" s="125"/>
      <c r="O394" s="125"/>
    </row>
    <row r="395" spans="13:15" ht="19.5" customHeight="1">
      <c r="M395" s="149" t="str">
        <f t="shared" si="6"/>
        <v>-</v>
      </c>
      <c r="N395" s="125"/>
      <c r="O395" s="125"/>
    </row>
    <row r="396" spans="13:15" ht="19.5" customHeight="1">
      <c r="M396" s="149" t="str">
        <f t="shared" si="6"/>
        <v>-</v>
      </c>
      <c r="N396" s="125"/>
      <c r="O396" s="125"/>
    </row>
    <row r="397" spans="13:15" ht="19.5" customHeight="1">
      <c r="M397" s="149" t="str">
        <f t="shared" si="6"/>
        <v>-</v>
      </c>
      <c r="N397" s="125"/>
      <c r="O397" s="125"/>
    </row>
    <row r="398" spans="13:15" ht="19.5" customHeight="1">
      <c r="M398" s="149" t="str">
        <f t="shared" si="6"/>
        <v>-</v>
      </c>
      <c r="N398" s="125"/>
      <c r="O398" s="125"/>
    </row>
    <row r="399" spans="13:15" ht="19.5" customHeight="1">
      <c r="M399" s="149" t="str">
        <f t="shared" si="6"/>
        <v>-</v>
      </c>
      <c r="N399" s="125"/>
      <c r="O399" s="125"/>
    </row>
    <row r="400" spans="13:15" ht="19.5" customHeight="1">
      <c r="M400" s="149" t="str">
        <f t="shared" si="6"/>
        <v>-</v>
      </c>
      <c r="N400" s="125"/>
      <c r="O400" s="125"/>
    </row>
    <row r="401" spans="13:15" ht="19.5" customHeight="1">
      <c r="M401" s="149" t="str">
        <f t="shared" si="6"/>
        <v>-</v>
      </c>
      <c r="N401" s="125"/>
      <c r="O401" s="125"/>
    </row>
    <row r="402" spans="13:15" ht="19.5" customHeight="1">
      <c r="M402" s="149" t="str">
        <f t="shared" si="6"/>
        <v>-</v>
      </c>
      <c r="N402" s="125"/>
      <c r="O402" s="125"/>
    </row>
    <row r="403" spans="13:15" ht="19.5" customHeight="1">
      <c r="M403" s="149" t="str">
        <f t="shared" si="6"/>
        <v>-</v>
      </c>
      <c r="N403" s="125"/>
      <c r="O403" s="125"/>
    </row>
    <row r="404" spans="13:15" ht="19.5" customHeight="1">
      <c r="M404" s="149" t="str">
        <f t="shared" si="6"/>
        <v>-</v>
      </c>
      <c r="N404" s="125"/>
      <c r="O404" s="125"/>
    </row>
    <row r="405" spans="13:15" ht="19.5" customHeight="1">
      <c r="M405" s="149" t="str">
        <f t="shared" si="6"/>
        <v>-</v>
      </c>
      <c r="N405" s="125"/>
      <c r="O405" s="125"/>
    </row>
    <row r="406" spans="13:15" ht="19.5" customHeight="1">
      <c r="M406" s="149" t="str">
        <f t="shared" si="6"/>
        <v>-</v>
      </c>
      <c r="N406" s="125"/>
      <c r="O406" s="125"/>
    </row>
    <row r="407" spans="13:15" ht="19.5" customHeight="1">
      <c r="M407" s="149" t="str">
        <f t="shared" si="6"/>
        <v>-</v>
      </c>
      <c r="N407" s="125"/>
      <c r="O407" s="125"/>
    </row>
    <row r="408" spans="13:15" ht="19.5" customHeight="1">
      <c r="M408" s="149" t="str">
        <f t="shared" si="6"/>
        <v>-</v>
      </c>
      <c r="N408" s="125"/>
      <c r="O408" s="125"/>
    </row>
    <row r="409" spans="13:15" ht="19.5" customHeight="1">
      <c r="M409" s="149" t="str">
        <f t="shared" si="6"/>
        <v>-</v>
      </c>
      <c r="N409" s="125"/>
      <c r="O409" s="125"/>
    </row>
    <row r="410" spans="13:15" ht="19.5" customHeight="1">
      <c r="M410" s="149" t="str">
        <f t="shared" si="6"/>
        <v>-</v>
      </c>
      <c r="N410" s="125"/>
      <c r="O410" s="125"/>
    </row>
    <row r="411" spans="13:15" ht="19.5" customHeight="1">
      <c r="M411" s="149" t="str">
        <f t="shared" si="6"/>
        <v>-</v>
      </c>
      <c r="N411" s="125"/>
      <c r="O411" s="125"/>
    </row>
    <row r="412" spans="13:15" ht="19.5" customHeight="1">
      <c r="M412" s="149" t="str">
        <f t="shared" si="6"/>
        <v>-</v>
      </c>
      <c r="N412" s="125"/>
      <c r="O412" s="125"/>
    </row>
    <row r="413" spans="13:15" ht="19.5" customHeight="1">
      <c r="M413" s="149" t="str">
        <f t="shared" si="6"/>
        <v>-</v>
      </c>
      <c r="N413" s="125"/>
      <c r="O413" s="125"/>
    </row>
    <row r="414" spans="13:15" ht="19.5" customHeight="1">
      <c r="M414" s="149" t="str">
        <f t="shared" si="6"/>
        <v>-</v>
      </c>
      <c r="N414" s="125"/>
      <c r="O414" s="125"/>
    </row>
    <row r="415" spans="13:15" ht="19.5" customHeight="1">
      <c r="M415" s="149" t="str">
        <f t="shared" si="6"/>
        <v>-</v>
      </c>
      <c r="N415" s="125"/>
      <c r="O415" s="125"/>
    </row>
    <row r="416" spans="13:15" ht="19.5" customHeight="1">
      <c r="M416" s="149" t="str">
        <f t="shared" si="6"/>
        <v>-</v>
      </c>
      <c r="N416" s="125"/>
      <c r="O416" s="125"/>
    </row>
    <row r="417" spans="13:15" ht="19.5" customHeight="1">
      <c r="M417" s="149" t="str">
        <f t="shared" si="6"/>
        <v>-</v>
      </c>
      <c r="N417" s="125"/>
      <c r="O417" s="125"/>
    </row>
    <row r="418" spans="13:15" ht="19.5" customHeight="1">
      <c r="M418" s="149" t="str">
        <f t="shared" si="6"/>
        <v>-</v>
      </c>
      <c r="N418" s="125"/>
      <c r="O418" s="125"/>
    </row>
    <row r="419" spans="13:15" ht="19.5" customHeight="1">
      <c r="M419" s="149" t="str">
        <f t="shared" si="6"/>
        <v>-</v>
      </c>
      <c r="N419" s="125"/>
      <c r="O419" s="125"/>
    </row>
    <row r="420" spans="13:15" ht="19.5" customHeight="1">
      <c r="M420" s="149" t="str">
        <f t="shared" si="6"/>
        <v>-</v>
      </c>
      <c r="N420" s="125"/>
      <c r="O420" s="125"/>
    </row>
    <row r="421" spans="13:15" ht="19.5" customHeight="1">
      <c r="M421" s="149" t="str">
        <f t="shared" si="6"/>
        <v>-</v>
      </c>
      <c r="N421" s="125"/>
      <c r="O421" s="125"/>
    </row>
    <row r="422" spans="13:15" ht="19.5" customHeight="1">
      <c r="M422" s="149" t="str">
        <f t="shared" si="6"/>
        <v>-</v>
      </c>
      <c r="N422" s="125"/>
      <c r="O422" s="125"/>
    </row>
    <row r="423" spans="13:15" ht="19.5" customHeight="1">
      <c r="M423" s="149" t="str">
        <f t="shared" si="6"/>
        <v>-</v>
      </c>
      <c r="N423" s="125"/>
      <c r="O423" s="125"/>
    </row>
    <row r="424" spans="13:15" ht="19.5" customHeight="1">
      <c r="M424" s="149" t="str">
        <f t="shared" si="6"/>
        <v>-</v>
      </c>
      <c r="N424" s="125"/>
      <c r="O424" s="125"/>
    </row>
    <row r="425" spans="13:15" ht="19.5" customHeight="1">
      <c r="M425" s="149" t="str">
        <f t="shared" si="6"/>
        <v>-</v>
      </c>
      <c r="N425" s="125"/>
      <c r="O425" s="125"/>
    </row>
    <row r="426" spans="13:15" ht="19.5" customHeight="1">
      <c r="M426" s="149" t="str">
        <f t="shared" si="6"/>
        <v>-</v>
      </c>
      <c r="N426" s="125"/>
      <c r="O426" s="125"/>
    </row>
    <row r="427" spans="13:15" ht="19.5" customHeight="1">
      <c r="M427" s="149" t="str">
        <f t="shared" si="6"/>
        <v>-</v>
      </c>
      <c r="N427" s="125"/>
      <c r="O427" s="125"/>
    </row>
    <row r="428" spans="13:15" ht="19.5" customHeight="1">
      <c r="M428" s="149" t="str">
        <f t="shared" si="6"/>
        <v>-</v>
      </c>
      <c r="N428" s="125"/>
      <c r="O428" s="125"/>
    </row>
    <row r="429" spans="13:15" ht="19.5" customHeight="1">
      <c r="M429" s="149" t="str">
        <f t="shared" si="6"/>
        <v>-</v>
      </c>
      <c r="N429" s="125"/>
      <c r="O429" s="125"/>
    </row>
    <row r="430" spans="13:15" ht="19.5" customHeight="1">
      <c r="M430" s="149" t="str">
        <f t="shared" si="6"/>
        <v>-</v>
      </c>
      <c r="N430" s="125"/>
      <c r="O430" s="125"/>
    </row>
    <row r="431" spans="13:15" ht="19.5" customHeight="1">
      <c r="M431" s="149" t="str">
        <f t="shared" si="6"/>
        <v>-</v>
      </c>
      <c r="N431" s="125"/>
      <c r="O431" s="125"/>
    </row>
    <row r="432" spans="13:15" ht="19.5" customHeight="1">
      <c r="M432" s="149" t="str">
        <f t="shared" si="6"/>
        <v>-</v>
      </c>
      <c r="N432" s="125"/>
      <c r="O432" s="125"/>
    </row>
    <row r="433" spans="13:15" ht="19.5" customHeight="1">
      <c r="M433" s="149" t="str">
        <f t="shared" si="6"/>
        <v>-</v>
      </c>
      <c r="N433" s="125"/>
      <c r="O433" s="125"/>
    </row>
    <row r="434" spans="13:15" ht="19.5" customHeight="1">
      <c r="M434" s="149" t="str">
        <f t="shared" si="6"/>
        <v>-</v>
      </c>
      <c r="N434" s="125"/>
      <c r="O434" s="125"/>
    </row>
    <row r="435" spans="13:15" ht="19.5" customHeight="1">
      <c r="M435" s="149" t="str">
        <f t="shared" si="6"/>
        <v>-</v>
      </c>
      <c r="N435" s="125"/>
      <c r="O435" s="125"/>
    </row>
    <row r="436" spans="13:15" ht="19.5" customHeight="1">
      <c r="M436" s="149" t="str">
        <f t="shared" si="6"/>
        <v>-</v>
      </c>
      <c r="N436" s="125"/>
      <c r="O436" s="125"/>
    </row>
    <row r="437" spans="13:15" ht="19.5" customHeight="1">
      <c r="M437" s="149" t="str">
        <f t="shared" si="6"/>
        <v>-</v>
      </c>
      <c r="N437" s="125"/>
      <c r="O437" s="125"/>
    </row>
    <row r="438" spans="13:15" ht="19.5" customHeight="1">
      <c r="M438" s="149" t="str">
        <f t="shared" si="6"/>
        <v>-</v>
      </c>
      <c r="N438" s="125"/>
      <c r="O438" s="125"/>
    </row>
    <row r="439" spans="13:15" ht="19.5" customHeight="1">
      <c r="M439" s="149" t="str">
        <f t="shared" si="6"/>
        <v>-</v>
      </c>
      <c r="N439" s="125"/>
      <c r="O439" s="125"/>
    </row>
    <row r="440" spans="13:15" ht="19.5" customHeight="1">
      <c r="M440" s="149" t="str">
        <f t="shared" si="6"/>
        <v>-</v>
      </c>
      <c r="N440" s="125"/>
      <c r="O440" s="125"/>
    </row>
    <row r="441" spans="13:15" ht="19.5" customHeight="1">
      <c r="M441" s="149" t="str">
        <f t="shared" si="6"/>
        <v>-</v>
      </c>
      <c r="N441" s="125"/>
      <c r="O441" s="125"/>
    </row>
    <row r="442" spans="13:15" ht="19.5" customHeight="1">
      <c r="M442" s="149" t="str">
        <f t="shared" si="6"/>
        <v>-</v>
      </c>
      <c r="N442" s="125"/>
      <c r="O442" s="125"/>
    </row>
    <row r="443" spans="13:15" ht="19.5" customHeight="1">
      <c r="M443" s="149" t="str">
        <f t="shared" si="6"/>
        <v>-</v>
      </c>
      <c r="N443" s="125"/>
      <c r="O443" s="125"/>
    </row>
    <row r="444" spans="13:15" ht="19.5" customHeight="1">
      <c r="M444" s="149" t="str">
        <f t="shared" si="6"/>
        <v>-</v>
      </c>
      <c r="N444" s="125"/>
      <c r="O444" s="125"/>
    </row>
    <row r="445" spans="13:15" ht="19.5" customHeight="1">
      <c r="M445" s="149" t="str">
        <f t="shared" si="6"/>
        <v>-</v>
      </c>
      <c r="N445" s="125"/>
      <c r="O445" s="125"/>
    </row>
    <row r="446" spans="13:15" ht="19.5" customHeight="1">
      <c r="M446" s="149" t="str">
        <f t="shared" si="6"/>
        <v>-</v>
      </c>
      <c r="N446" s="125"/>
      <c r="O446" s="125"/>
    </row>
    <row r="447" spans="13:15" ht="19.5" customHeight="1">
      <c r="M447" s="149" t="str">
        <f t="shared" si="6"/>
        <v>-</v>
      </c>
      <c r="N447" s="125"/>
      <c r="O447" s="125"/>
    </row>
    <row r="448" spans="13:15" ht="19.5" customHeight="1">
      <c r="M448" s="149" t="str">
        <f t="shared" si="6"/>
        <v>-</v>
      </c>
      <c r="N448" s="125"/>
      <c r="O448" s="125"/>
    </row>
    <row r="449" spans="13:15" ht="19.5" customHeight="1">
      <c r="M449" s="149" t="str">
        <f t="shared" si="6"/>
        <v>-</v>
      </c>
      <c r="N449" s="125"/>
      <c r="O449" s="125"/>
    </row>
    <row r="450" spans="13:15" ht="19.5" customHeight="1">
      <c r="M450" s="149" t="str">
        <f t="shared" si="6"/>
        <v>-</v>
      </c>
      <c r="N450" s="125"/>
      <c r="O450" s="125"/>
    </row>
    <row r="451" spans="13:15" ht="19.5" customHeight="1">
      <c r="M451" s="149" t="str">
        <f t="shared" si="6"/>
        <v>-</v>
      </c>
      <c r="N451" s="125"/>
      <c r="O451" s="125"/>
    </row>
    <row r="452" spans="13:15" ht="19.5" customHeight="1">
      <c r="M452" s="149" t="str">
        <f t="shared" si="6"/>
        <v>-</v>
      </c>
      <c r="N452" s="125"/>
      <c r="O452" s="125"/>
    </row>
    <row r="453" spans="13:15" ht="19.5" customHeight="1">
      <c r="M453" s="149" t="str">
        <f t="shared" si="6"/>
        <v>-</v>
      </c>
      <c r="N453" s="125"/>
      <c r="O453" s="125"/>
    </row>
    <row r="454" spans="13:15" ht="19.5" customHeight="1">
      <c r="M454" s="149" t="str">
        <f t="shared" ref="M454:M500" si="7">IFERROR((K454-J454)/(I454-H454),"-")</f>
        <v>-</v>
      </c>
      <c r="N454" s="125"/>
      <c r="O454" s="125"/>
    </row>
    <row r="455" spans="13:15" ht="19.5" customHeight="1">
      <c r="M455" s="149" t="str">
        <f t="shared" si="7"/>
        <v>-</v>
      </c>
      <c r="N455" s="125"/>
      <c r="O455" s="125"/>
    </row>
    <row r="456" spans="13:15" ht="19.5" customHeight="1">
      <c r="M456" s="149" t="str">
        <f t="shared" si="7"/>
        <v>-</v>
      </c>
      <c r="N456" s="125"/>
      <c r="O456" s="125"/>
    </row>
    <row r="457" spans="13:15" ht="19.5" customHeight="1">
      <c r="M457" s="149" t="str">
        <f t="shared" si="7"/>
        <v>-</v>
      </c>
      <c r="N457" s="125"/>
      <c r="O457" s="125"/>
    </row>
    <row r="458" spans="13:15" ht="19.5" customHeight="1">
      <c r="M458" s="149" t="str">
        <f t="shared" si="7"/>
        <v>-</v>
      </c>
      <c r="N458" s="125"/>
      <c r="O458" s="125"/>
    </row>
    <row r="459" spans="13:15" ht="19.5" customHeight="1">
      <c r="M459" s="149" t="str">
        <f t="shared" si="7"/>
        <v>-</v>
      </c>
      <c r="N459" s="125"/>
      <c r="O459" s="125"/>
    </row>
    <row r="460" spans="13:15" ht="19.5" customHeight="1">
      <c r="M460" s="149" t="str">
        <f t="shared" si="7"/>
        <v>-</v>
      </c>
      <c r="N460" s="125"/>
      <c r="O460" s="125"/>
    </row>
    <row r="461" spans="13:15" ht="19.5" customHeight="1">
      <c r="M461" s="149" t="str">
        <f t="shared" si="7"/>
        <v>-</v>
      </c>
      <c r="N461" s="125"/>
      <c r="O461" s="125"/>
    </row>
    <row r="462" spans="13:15" ht="19.5" customHeight="1">
      <c r="M462" s="149" t="str">
        <f t="shared" si="7"/>
        <v>-</v>
      </c>
      <c r="N462" s="125"/>
      <c r="O462" s="125"/>
    </row>
    <row r="463" spans="13:15" ht="19.5" customHeight="1">
      <c r="M463" s="149" t="str">
        <f t="shared" si="7"/>
        <v>-</v>
      </c>
      <c r="N463" s="125"/>
      <c r="O463" s="125"/>
    </row>
    <row r="464" spans="13:15" ht="19.5" customHeight="1">
      <c r="M464" s="149" t="str">
        <f t="shared" si="7"/>
        <v>-</v>
      </c>
      <c r="N464" s="125"/>
      <c r="O464" s="125"/>
    </row>
    <row r="465" spans="13:15" ht="19.5" customHeight="1">
      <c r="M465" s="149" t="str">
        <f t="shared" si="7"/>
        <v>-</v>
      </c>
      <c r="N465" s="125"/>
      <c r="O465" s="125"/>
    </row>
    <row r="466" spans="13:15" ht="19.5" customHeight="1">
      <c r="M466" s="149" t="str">
        <f t="shared" si="7"/>
        <v>-</v>
      </c>
      <c r="N466" s="125"/>
      <c r="O466" s="125"/>
    </row>
    <row r="467" spans="13:15" ht="19.5" customHeight="1">
      <c r="M467" s="149" t="str">
        <f t="shared" si="7"/>
        <v>-</v>
      </c>
      <c r="N467" s="125"/>
      <c r="O467" s="125"/>
    </row>
    <row r="468" spans="13:15" ht="19.5" customHeight="1">
      <c r="M468" s="149" t="str">
        <f t="shared" si="7"/>
        <v>-</v>
      </c>
      <c r="N468" s="125"/>
      <c r="O468" s="125"/>
    </row>
    <row r="469" spans="13:15" ht="19.5" customHeight="1">
      <c r="M469" s="149" t="str">
        <f t="shared" si="7"/>
        <v>-</v>
      </c>
      <c r="N469" s="125"/>
      <c r="O469" s="125"/>
    </row>
    <row r="470" spans="13:15" ht="19.5" customHeight="1">
      <c r="M470" s="149" t="str">
        <f t="shared" si="7"/>
        <v>-</v>
      </c>
      <c r="N470" s="125"/>
      <c r="O470" s="125"/>
    </row>
    <row r="471" spans="13:15" ht="19.5" customHeight="1">
      <c r="M471" s="149" t="str">
        <f t="shared" si="7"/>
        <v>-</v>
      </c>
      <c r="N471" s="125"/>
      <c r="O471" s="125"/>
    </row>
    <row r="472" spans="13:15" ht="19.5" customHeight="1">
      <c r="M472" s="149" t="str">
        <f t="shared" si="7"/>
        <v>-</v>
      </c>
      <c r="N472" s="125"/>
      <c r="O472" s="125"/>
    </row>
    <row r="473" spans="13:15" ht="19.5" customHeight="1">
      <c r="M473" s="149" t="str">
        <f t="shared" si="7"/>
        <v>-</v>
      </c>
      <c r="N473" s="125"/>
      <c r="O473" s="125"/>
    </row>
    <row r="474" spans="13:15" ht="19.5" customHeight="1">
      <c r="M474" s="149" t="str">
        <f t="shared" si="7"/>
        <v>-</v>
      </c>
      <c r="N474" s="125"/>
      <c r="O474" s="125"/>
    </row>
    <row r="475" spans="13:15" ht="19.5" customHeight="1">
      <c r="M475" s="149" t="str">
        <f t="shared" si="7"/>
        <v>-</v>
      </c>
      <c r="N475" s="125"/>
      <c r="O475" s="125"/>
    </row>
    <row r="476" spans="13:15" ht="19.5" customHeight="1">
      <c r="M476" s="149" t="str">
        <f t="shared" si="7"/>
        <v>-</v>
      </c>
      <c r="N476" s="125"/>
      <c r="O476" s="125"/>
    </row>
    <row r="477" spans="13:15" ht="19.5" customHeight="1">
      <c r="M477" s="149" t="str">
        <f t="shared" si="7"/>
        <v>-</v>
      </c>
      <c r="N477" s="125"/>
      <c r="O477" s="125"/>
    </row>
    <row r="478" spans="13:15" ht="19.5" customHeight="1">
      <c r="M478" s="149" t="str">
        <f t="shared" si="7"/>
        <v>-</v>
      </c>
      <c r="N478" s="125"/>
      <c r="O478" s="125"/>
    </row>
    <row r="479" spans="13:15" ht="19.5" customHeight="1">
      <c r="M479" s="149" t="str">
        <f t="shared" si="7"/>
        <v>-</v>
      </c>
      <c r="N479" s="125"/>
      <c r="O479" s="125"/>
    </row>
    <row r="480" spans="13:15" ht="19.5" customHeight="1">
      <c r="M480" s="149" t="str">
        <f t="shared" si="7"/>
        <v>-</v>
      </c>
      <c r="N480" s="125"/>
      <c r="O480" s="125"/>
    </row>
    <row r="481" spans="13:15" ht="19.5" customHeight="1">
      <c r="M481" s="149" t="str">
        <f t="shared" si="7"/>
        <v>-</v>
      </c>
      <c r="N481" s="125"/>
      <c r="O481" s="125"/>
    </row>
    <row r="482" spans="13:15" ht="19.5" customHeight="1">
      <c r="M482" s="149" t="str">
        <f t="shared" si="7"/>
        <v>-</v>
      </c>
      <c r="N482" s="125"/>
      <c r="O482" s="125"/>
    </row>
    <row r="483" spans="13:15" ht="19.5" customHeight="1">
      <c r="M483" s="149" t="str">
        <f t="shared" si="7"/>
        <v>-</v>
      </c>
      <c r="N483" s="125"/>
      <c r="O483" s="125"/>
    </row>
    <row r="484" spans="13:15" ht="19.5" customHeight="1">
      <c r="M484" s="149" t="str">
        <f t="shared" si="7"/>
        <v>-</v>
      </c>
      <c r="N484" s="125"/>
      <c r="O484" s="125"/>
    </row>
    <row r="485" spans="13:15" ht="19.5" customHeight="1">
      <c r="M485" s="149" t="str">
        <f t="shared" si="7"/>
        <v>-</v>
      </c>
      <c r="N485" s="125"/>
      <c r="O485" s="125"/>
    </row>
    <row r="486" spans="13:15" ht="19.5" customHeight="1">
      <c r="M486" s="149" t="str">
        <f t="shared" si="7"/>
        <v>-</v>
      </c>
      <c r="N486" s="125"/>
      <c r="O486" s="125"/>
    </row>
    <row r="487" spans="13:15" ht="19.5" customHeight="1">
      <c r="M487" s="149" t="str">
        <f t="shared" si="7"/>
        <v>-</v>
      </c>
      <c r="N487" s="125"/>
      <c r="O487" s="125"/>
    </row>
    <row r="488" spans="13:15" ht="19.5" customHeight="1">
      <c r="M488" s="149" t="str">
        <f t="shared" si="7"/>
        <v>-</v>
      </c>
      <c r="N488" s="125"/>
      <c r="O488" s="125"/>
    </row>
    <row r="489" spans="13:15" ht="19.5" customHeight="1">
      <c r="M489" s="149" t="str">
        <f t="shared" si="7"/>
        <v>-</v>
      </c>
      <c r="N489" s="125"/>
      <c r="O489" s="125"/>
    </row>
    <row r="490" spans="13:15" ht="19.5" customHeight="1">
      <c r="M490" s="149" t="str">
        <f t="shared" si="7"/>
        <v>-</v>
      </c>
      <c r="N490" s="125"/>
      <c r="O490" s="125"/>
    </row>
    <row r="491" spans="13:15" ht="19.5" customHeight="1">
      <c r="M491" s="149" t="str">
        <f t="shared" si="7"/>
        <v>-</v>
      </c>
      <c r="N491" s="125"/>
      <c r="O491" s="125"/>
    </row>
    <row r="492" spans="13:15" ht="19.5" customHeight="1">
      <c r="M492" s="149" t="str">
        <f t="shared" si="7"/>
        <v>-</v>
      </c>
      <c r="N492" s="125"/>
      <c r="O492" s="125"/>
    </row>
    <row r="493" spans="13:15" ht="19.5" customHeight="1">
      <c r="M493" s="149" t="str">
        <f t="shared" si="7"/>
        <v>-</v>
      </c>
      <c r="N493" s="125"/>
      <c r="O493" s="125"/>
    </row>
    <row r="494" spans="13:15" ht="19.5" customHeight="1">
      <c r="M494" s="149" t="str">
        <f t="shared" si="7"/>
        <v>-</v>
      </c>
      <c r="N494" s="125"/>
      <c r="O494" s="125"/>
    </row>
    <row r="495" spans="13:15" ht="19.5" customHeight="1">
      <c r="M495" s="149" t="str">
        <f t="shared" si="7"/>
        <v>-</v>
      </c>
      <c r="N495" s="125"/>
      <c r="O495" s="125"/>
    </row>
    <row r="496" spans="13:15" ht="19.5" customHeight="1">
      <c r="M496" s="149" t="str">
        <f t="shared" si="7"/>
        <v>-</v>
      </c>
      <c r="N496" s="125"/>
      <c r="O496" s="125"/>
    </row>
    <row r="497" spans="13:15" ht="19.5" customHeight="1">
      <c r="M497" s="149" t="str">
        <f t="shared" si="7"/>
        <v>-</v>
      </c>
      <c r="N497" s="125"/>
      <c r="O497" s="125"/>
    </row>
    <row r="498" spans="13:15" ht="19.5" customHeight="1">
      <c r="M498" s="149" t="str">
        <f t="shared" si="7"/>
        <v>-</v>
      </c>
      <c r="N498" s="125"/>
      <c r="O498" s="125"/>
    </row>
    <row r="499" spans="13:15" ht="19.5" customHeight="1">
      <c r="M499" s="149" t="str">
        <f t="shared" si="7"/>
        <v>-</v>
      </c>
      <c r="N499" s="125"/>
      <c r="O499" s="125"/>
    </row>
    <row r="500" spans="13:15" ht="19.5" customHeight="1">
      <c r="M500" s="149" t="str">
        <f t="shared" si="7"/>
        <v>-</v>
      </c>
      <c r="N500" s="125"/>
      <c r="O500" s="125"/>
    </row>
  </sheetData>
  <autoFilter ref="B5:W5" xr:uid="{F58B16CA-E179-4A59-8697-87F2178F1FCE}">
    <sortState xmlns:xlrd2="http://schemas.microsoft.com/office/spreadsheetml/2017/richdata2" ref="B6:W24">
      <sortCondition ref="B6:B24"/>
    </sortState>
  </autoFilter>
  <mergeCells count="2">
    <mergeCell ref="B4:V4"/>
    <mergeCell ref="B2:G2"/>
  </mergeCells>
  <conditionalFormatting sqref="F6:F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:F1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5:F1048576 F21:F23 F6:F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5:O1048576 F21:G23 H20:O24 F1:O19 M17:M500">
    <cfRule type="endsWith" dxfId="16" priority="2" operator="endsWith" text="-">
      <formula>RIGHT(F1,LEN("-"))="-"</formula>
    </cfRule>
  </conditionalFormatting>
  <conditionalFormatting sqref="M6:M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:V1048576">
    <cfRule type="containsText" dxfId="15" priority="3" operator="containsText" text="N/A">
      <formula>NOT(ISERROR(SEARCH("N/A",P6)))</formula>
    </cfRule>
    <cfRule type="cellIs" dxfId="14" priority="9" operator="lessThan">
      <formula>1</formula>
    </cfRule>
    <cfRule type="cellIs" dxfId="13" priority="10" operator="greaterThanOrEqual">
      <formula>1</formula>
    </cfRule>
  </conditionalFormatting>
  <conditionalFormatting sqref="G20">
    <cfRule type="endsWith" dxfId="12" priority="1" operator="endsWith" text="-">
      <formula>RIGHT(G20,LEN("-"))="-"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E860A2-F721-407E-93AE-87E93F836DF5}">
          <x14:formula1>
            <xm:f>Desplegables!$G$3:$G$7</xm:f>
          </x14:formula1>
          <xm:sqref>E25:E1048576 E6:E23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6855-5231-4ECA-B4EA-58E2DBB67BAD}">
  <dimension ref="B1:AB50"/>
  <sheetViews>
    <sheetView tabSelected="1" zoomScale="80" zoomScaleNormal="80" workbookViewId="0">
      <selection activeCell="J7" sqref="J7"/>
    </sheetView>
  </sheetViews>
  <sheetFormatPr defaultColWidth="11.42578125" defaultRowHeight="16.5" customHeight="1"/>
  <cols>
    <col min="1" max="1" width="5.5703125" style="8" customWidth="1"/>
    <col min="2" max="2" width="15.5703125" style="8" customWidth="1"/>
    <col min="3" max="3" width="21.5703125" style="8" customWidth="1"/>
    <col min="4" max="6" width="15.5703125" style="8" customWidth="1"/>
    <col min="7" max="7" width="16.85546875" style="8" customWidth="1"/>
    <col min="8" max="8" width="5.5703125" style="8" customWidth="1"/>
    <col min="9" max="13" width="19.5703125" style="8" customWidth="1"/>
    <col min="14" max="14" width="5.5703125" style="8" customWidth="1"/>
    <col min="15" max="17" width="19.5703125" style="8" customWidth="1"/>
    <col min="18" max="18" width="8.42578125" style="8" customWidth="1"/>
    <col min="19" max="19" width="19.5703125" style="8" customWidth="1"/>
    <col min="20" max="21" width="25.5703125" style="8" customWidth="1"/>
    <col min="22" max="22" width="8.42578125" style="8" customWidth="1"/>
    <col min="23" max="25" width="11.42578125" style="8" customWidth="1"/>
    <col min="26" max="26" width="12.85546875" style="8" customWidth="1"/>
    <col min="27" max="27" width="38" style="8" customWidth="1"/>
    <col min="28" max="28" width="16.42578125" style="8" customWidth="1"/>
    <col min="29" max="16384" width="11.42578125" style="8"/>
  </cols>
  <sheetData>
    <row r="1" spans="2:28" ht="20.100000000000001" customHeight="1"/>
    <row r="2" spans="2:28" ht="20.100000000000001" customHeight="1">
      <c r="B2" s="252" t="s">
        <v>92</v>
      </c>
      <c r="C2" s="252"/>
      <c r="D2" s="252"/>
      <c r="E2" s="252"/>
      <c r="F2" s="252"/>
      <c r="G2" s="252"/>
      <c r="I2" s="252" t="s">
        <v>92</v>
      </c>
      <c r="J2" s="252"/>
      <c r="K2" s="252"/>
      <c r="L2" s="252"/>
      <c r="M2" s="252"/>
      <c r="O2" s="252" t="s">
        <v>92</v>
      </c>
      <c r="P2" s="252"/>
      <c r="Q2" s="252"/>
      <c r="R2" s="55"/>
      <c r="S2" s="252" t="s">
        <v>92</v>
      </c>
      <c r="T2" s="252"/>
      <c r="U2" s="252"/>
    </row>
    <row r="3" spans="2:28" ht="20.100000000000001" customHeight="1"/>
    <row r="4" spans="2:28" ht="20.100000000000001" customHeight="1">
      <c r="B4" s="253" t="s">
        <v>93</v>
      </c>
      <c r="C4" s="254"/>
      <c r="D4" s="254"/>
      <c r="E4" s="254"/>
      <c r="F4" s="254"/>
      <c r="G4" s="196"/>
      <c r="I4" s="194" t="s">
        <v>94</v>
      </c>
      <c r="J4" s="195"/>
      <c r="K4" s="195"/>
      <c r="L4" s="195"/>
      <c r="M4" s="255"/>
      <c r="N4" s="15"/>
      <c r="O4" s="199" t="s">
        <v>95</v>
      </c>
      <c r="P4" s="200"/>
      <c r="Q4" s="222"/>
      <c r="R4" s="56"/>
      <c r="S4" s="199" t="s">
        <v>96</v>
      </c>
      <c r="T4" s="200"/>
      <c r="U4" s="222"/>
      <c r="X4" s="17" t="s">
        <v>97</v>
      </c>
      <c r="Y4" s="18" t="s">
        <v>98</v>
      </c>
      <c r="AA4" s="27" t="s">
        <v>99</v>
      </c>
      <c r="AB4" s="74">
        <f>(X27*(((D14+SUM(D6:D13)*2)^3)-(D17^3))/12)</f>
        <v>72859.422533333316</v>
      </c>
    </row>
    <row r="5" spans="2:28" ht="20.100000000000001" customHeight="1">
      <c r="B5" s="4" t="s">
        <v>100</v>
      </c>
      <c r="C5" s="9" t="s">
        <v>101</v>
      </c>
      <c r="D5" s="9" t="s">
        <v>102</v>
      </c>
      <c r="E5" s="9" t="s">
        <v>103</v>
      </c>
      <c r="F5" s="9" t="s">
        <v>104</v>
      </c>
      <c r="G5" s="5" t="s">
        <v>105</v>
      </c>
      <c r="N5" s="16"/>
      <c r="W5" s="24" t="s">
        <v>106</v>
      </c>
      <c r="X5" s="31">
        <f>L7</f>
        <v>248.17</v>
      </c>
      <c r="Y5" s="30">
        <f>L7</f>
        <v>248.17</v>
      </c>
      <c r="AA5" s="64" t="s">
        <v>107</v>
      </c>
      <c r="AB5" s="77">
        <f>(L11*AB24*0.5*(D17+2*D18)/(4*AB4))*1000000</f>
        <v>318286197.36027229</v>
      </c>
    </row>
    <row r="6" spans="2:28" ht="20.100000000000001" customHeight="1">
      <c r="B6" s="83" t="s">
        <v>108</v>
      </c>
      <c r="C6" s="172" t="str" cm="1">
        <f t="array" ref="C6">_xlfn.LET(
    _xlpm.texto_laminado, VLOOKUP($J$7, 'Base de Datos Probetas'!$B$6:$G$1000, 6, FALSE),
    _xlpm.limpio, SUBSTITUTE(SUBSTITUTE(SUBSTITUTE(_xlpm.texto_laminado, "[", ""), "]", ""), " S.", ""),
    _xlpm.capas, _xlfn.TEXTSPLIT(_xlpm.limpio, "/"),
    _xlpm.num_capas, COUNTA(_xlpm.capas),
    _xlpm.indice_capa, _xlpm.num_capas - (13 - ROW()),
    IF(OR(_xlpm.indice_capa &lt; 1, _xlpm.indice_capa &gt; _xlpm.num_capas), "-",
        _xlfn.LET(
            _xlpm.val, INDEX(_xlpm.capas, 1, _xlpm.indice_capa),
            IF(_xlpm.val="+-45", "RC +-45º", IF(_xlpm.val="+-90", "RC +-90º", IF(_xlpm.val="0", "UD 0º", _xlpm.val)))
        )
    )
)</f>
        <v>-</v>
      </c>
      <c r="D6" s="10" cm="1">
        <f t="array" ref="D6">_xlfn.IFS(ISNUMBER(SEARCH("RC",C6)),$X$35,ISNUMBER(SEARCH("XC",C6)),$X$37,ISNUMBER(SEARCH("UD",C6)),$X$36,ISNUMBER(SEARCH("-",C6)),0)</f>
        <v>0</v>
      </c>
      <c r="E6" s="10" cm="1">
        <f t="array" ref="E6">_xlfn.IFS(ISNUMBER(SEARCH("RC",C6)),$X$26*0.001*$X$27*0.001*$X$30,ISNUMBER(SEARCH("XC",C6)),$X$26*0.001*$X$27*0.001*$X$32,ISNUMBER(SEARCH("UD",C6)),$X$26*0.001*$X$27*0.001*$X$31,ISNUMBER(SEARCH("-",C6)),0)</f>
        <v>0</v>
      </c>
      <c r="F6" s="10" cm="1">
        <f t="array" ref="F6" xml:space="preserve"> _xlfn.IFS(ISNUMBER(SEARCH("RC",C6)),E6/(1-$Z$35),ISNUMBER(SEARCH("UD",C6)),E6/(1-$Z$36),ISNUMBER(SEARCH("UD",C6)),E6/(1-$Z$37),ISNUMBER(SEARCH("-",C6)),0)</f>
        <v>0</v>
      </c>
      <c r="G6" s="28" cm="1">
        <f t="array" ref="G6">_xlfn.IFS(
   C6="-", 0,
   ISNUMBER(SEARCH($W$16,C6)), E6*0,
   ISNUMBER(SEARCH($W$17,C6)), E6*0.5,
   ISNUMBER(SEARCH($W$23,C6)), E6*0.5, ISNUMBER(SEARCH($W$22,C6)), E6*0,
   ISNUMBER(SEARCH($W$18,C6)), E6*1,
   OR(ISNUMBER(SEARCH($W$19,C6)),ISNUMBER(SEARCH($W$20,C6)),ISNUMBER(SEARCH($W$21,C6))), E6*0,
   TRUE, 0)</f>
        <v>0</v>
      </c>
      <c r="I6" s="4" t="s">
        <v>109</v>
      </c>
      <c r="J6" s="96" t="s">
        <v>110</v>
      </c>
      <c r="L6" s="229" t="s">
        <v>111</v>
      </c>
      <c r="M6" s="231"/>
      <c r="O6" s="17" t="s">
        <v>32</v>
      </c>
      <c r="P6" s="170" t="str">
        <f>IF(VLOOKUP(J7,'Base de Datos Probetas'!B6:O1000,14,FALSE)=0,"N/A",VLOOKUP(J7,'Base de Datos Probetas'!B6:O1000,14,FALSE))</f>
        <v>-</v>
      </c>
      <c r="Q6" s="15"/>
      <c r="R6" s="59"/>
      <c r="T6" s="207" t="s">
        <v>112</v>
      </c>
      <c r="U6" s="208"/>
      <c r="W6" s="25" t="s">
        <v>113</v>
      </c>
      <c r="X6" s="32">
        <f>D18</f>
        <v>1.1799999999999997</v>
      </c>
      <c r="Y6" s="13">
        <f>D18</f>
        <v>1.1799999999999997</v>
      </c>
      <c r="AA6" s="15"/>
    </row>
    <row r="7" spans="2:28" ht="20.100000000000001" customHeight="1">
      <c r="B7" s="83" t="s">
        <v>114</v>
      </c>
      <c r="C7" s="172" t="str" cm="1">
        <f t="array" ref="C7">_xlfn.LET(
    _xlpm.texto_laminado, VLOOKUP($J$7, 'Base de Datos Probetas'!$B$6:$G$1000, 6, FALSE),
    _xlpm.limpio, SUBSTITUTE(SUBSTITUTE(SUBSTITUTE(_xlpm.texto_laminado, "[", ""), "]", ""), " S.", ""),
    _xlpm.capas, _xlfn.TEXTSPLIT(_xlpm.limpio, "/"),
    _xlpm.num_capas, COUNTA(_xlpm.capas),
    _xlpm.indice_capa, _xlpm.num_capas - (13 - ROW()),
    IF(OR(_xlpm.indice_capa &lt; 1, _xlpm.indice_capa &gt; _xlpm.num_capas), "-",
        _xlfn.LET(
            _xlpm.val, INDEX(_xlpm.capas, 1, _xlpm.indice_capa),
            IF(_xlpm.val="+-45", "RC +-45º", IF(_xlpm.val="+-90", "RC +-90º", IF(_xlpm.val="0", "UD 0º", _xlpm.val)))
        )
    )
)</f>
        <v>-</v>
      </c>
      <c r="D7" s="10" cm="1">
        <f t="array" ref="D7">_xlfn.IFS(ISNUMBER(SEARCH("RC",C7)),$X$35,ISNUMBER(SEARCH("XC",C7)),$X$37,ISNUMBER(SEARCH("UD",C7)),$X$36,ISNUMBER(SEARCH("-",C7)),0)</f>
        <v>0</v>
      </c>
      <c r="E7" s="10" cm="1">
        <f t="array" ref="E7">_xlfn.IFS(ISNUMBER(SEARCH("RC",C7)),$X$26*0.001*$X$27*0.001*$X$30,ISNUMBER(SEARCH("XC",C7)),$X$26*0.001*$X$27*0.001*$X$32,ISNUMBER(SEARCH("UD",C7)),$X$26*0.001*$X$27*0.001*$X$31,ISNUMBER(SEARCH("-",C7)),0)</f>
        <v>0</v>
      </c>
      <c r="F7" s="10" cm="1">
        <f t="array" ref="F7" xml:space="preserve"> _xlfn.IFS(ISNUMBER(SEARCH("RC",C7)),E7/(1-$Z$35),ISNUMBER(SEARCH("UD",C7)),E7/(1-$Z$36),ISNUMBER(SEARCH("UD",C7)),E7/(1-$Z$37),ISNUMBER(SEARCH("-",C7)),0)</f>
        <v>0</v>
      </c>
      <c r="G7" s="28" cm="1">
        <f t="array" ref="G7">_xlfn.IFS(
   C7="-", 0,
   ISNUMBER(SEARCH($W$16,C7)), E7*0,
   ISNUMBER(SEARCH($W$17,C7)), E7*0.5,
   ISNUMBER(SEARCH($W$23,C7)), E7*0.5, ISNUMBER(SEARCH($W$22,C7)), E7*0,
   ISNUMBER(SEARCH($W$18,C7)), E7*1,
   OR(ISNUMBER(SEARCH($W$19,C7)),ISNUMBER(SEARCH($W$20,C7)),ISNUMBER(SEARCH($W$21,C7))), E7*0,
   TRUE, 0)</f>
        <v>0</v>
      </c>
      <c r="I7" s="131" t="s">
        <v>115</v>
      </c>
      <c r="J7" s="71" t="s">
        <v>62</v>
      </c>
      <c r="L7" s="256" cm="1">
        <f t="array" ref="L7">_xlfn.IFS(
   I7="FBH", X44,
   I7="FHB", X45,
   I7="FBHS", X46,
   I7="SHB", X50,
   I7="MHBS", X49,
   I7="SISv", X47,
   I7="SISh", X48)</f>
        <v>248.17</v>
      </c>
      <c r="M7" s="257"/>
      <c r="O7" s="53" t="s">
        <v>31</v>
      </c>
      <c r="P7" s="171" t="str">
        <f>IF(VLOOKUP(J7,'Base de Datos Probetas'!B6:O1000,13,FALSE)=0,"N/A",VLOOKUP(J7,'Base de Datos Probetas'!B6:O1000,13,FALSE))</f>
        <v>-</v>
      </c>
      <c r="Q7" s="15"/>
      <c r="R7" s="60"/>
      <c r="S7" s="57" t="s">
        <v>19</v>
      </c>
      <c r="T7" s="223">
        <f>AB27*AB5/1000000</f>
        <v>186414.24201340106</v>
      </c>
      <c r="U7" s="224"/>
    </row>
    <row r="8" spans="2:28" ht="20.100000000000001" customHeight="1">
      <c r="B8" s="83" t="s">
        <v>116</v>
      </c>
      <c r="C8" s="172" t="str" cm="1">
        <f t="array" ref="C8">_xlfn.LET(
    _xlpm.texto_laminado, VLOOKUP($J$7, 'Base de Datos Probetas'!$B$6:$G$1000, 6, FALSE),
    _xlpm.limpio, SUBSTITUTE(SUBSTITUTE(SUBSTITUTE(_xlpm.texto_laminado, "[", ""), "]", ""), " S.", ""),
    _xlpm.capas, _xlfn.TEXTSPLIT(_xlpm.limpio, "/"),
    _xlpm.num_capas, COUNTA(_xlpm.capas),
    _xlpm.indice_capa, _xlpm.num_capas - (13 - ROW()),
    IF(OR(_xlpm.indice_capa &lt; 1, _xlpm.indice_capa &gt; _xlpm.num_capas), "-",
        _xlfn.LET(
            _xlpm.val, INDEX(_xlpm.capas, 1, _xlpm.indice_capa),
            IF(_xlpm.val="+-45", "RC +-45º", IF(_xlpm.val="+-90", "RC +-90º", IF(_xlpm.val="0", "UD 0º", _xlpm.val)))
        )
    )
)</f>
        <v>-</v>
      </c>
      <c r="D8" s="10" cm="1">
        <f t="array" ref="D8">_xlfn.IFS(ISNUMBER(SEARCH("RC",C8)),$X$35,ISNUMBER(SEARCH("XC",C8)),$X$37,ISNUMBER(SEARCH("UD",C8)),$X$36,ISNUMBER(SEARCH("-",C8)),0)</f>
        <v>0</v>
      </c>
      <c r="E8" s="10" cm="1">
        <f t="array" ref="E8">_xlfn.IFS(ISNUMBER(SEARCH("RC",C8)),$X$26*0.001*$X$27*0.001*$X$30,ISNUMBER(SEARCH("XC",C8)),$X$26*0.001*$X$27*0.001*$X$32,ISNUMBER(SEARCH("UD",C8)),$X$26*0.001*$X$27*0.001*$X$31,ISNUMBER(SEARCH("-",C8)),0)</f>
        <v>0</v>
      </c>
      <c r="F8" s="10" cm="1">
        <f t="array" ref="F8" xml:space="preserve"> _xlfn.IFS(ISNUMBER(SEARCH("RC",C8)),E8/(1-$Z$35),ISNUMBER(SEARCH("UD",C8)),E8/(1-$Z$36),ISNUMBER(SEARCH("UD",C8)),E8/(1-$Z$37),ISNUMBER(SEARCH("-",C8)),0)</f>
        <v>0</v>
      </c>
      <c r="G8" s="28" cm="1">
        <f t="array" ref="G8">_xlfn.IFS(
   C8="-", 0,
   ISNUMBER(SEARCH($W$16,C8)), E8*0,
   ISNUMBER(SEARCH($W$17,C8)), E8*0.5,
   ISNUMBER(SEARCH($W$23,C8)), E8*0.5, ISNUMBER(SEARCH($W$22,C8)), E8*0,
   ISNUMBER(SEARCH($W$18,C8)), E8*1,
   OR(ISNUMBER(SEARCH($W$19,C8)),ISNUMBER(SEARCH($W$20,C8)),ISNUMBER(SEARCH($W$21,C8))), E8*0,
   TRUE, 0)</f>
        <v>0</v>
      </c>
      <c r="O8" s="1" t="s">
        <v>117</v>
      </c>
      <c r="P8" s="69" t="str" cm="1">
        <f t="array" ref="P8">IFERROR(_xlfn.IFS(
   I7="FBH", P6/(PI()*25*D18),
   I7="FHB", P6/(PI()*25*D18),
   I7="FBHS", P7/(PI()*25*D18),
   I7="SHB", P6/(PI()*25*D18),
   I7="MHBS", P6/(PI()*25*D18),
   I7="SISv", P7/(PI()*25*D18),
   I7="SISh", P6/(PI()*25*D18)),"-")</f>
        <v>-</v>
      </c>
      <c r="Q8" s="15"/>
      <c r="S8" s="64" t="s">
        <v>118</v>
      </c>
      <c r="T8" s="223" cm="1">
        <f t="array" ref="T8">_xlfn.IFS(
   I7="FBH", 73000,
   I7="FHB", 36500,
   I7="FBHS", 83500,
   I7="SHB", 52900,
   I7="MHBS", 55700,
   I7="SISv", 109000,
   I7="SISh", 109000)</f>
        <v>55700</v>
      </c>
      <c r="U8" s="224"/>
      <c r="W8" s="14" t="s">
        <v>119</v>
      </c>
      <c r="X8" s="30">
        <f>X5*X6</f>
        <v>292.84059999999994</v>
      </c>
      <c r="Y8" s="22" t="s">
        <v>120</v>
      </c>
      <c r="Z8" s="30">
        <f>(X5*X6^3)/12</f>
        <v>33.979270953333305</v>
      </c>
    </row>
    <row r="9" spans="2:28" ht="20.100000000000001" customHeight="1">
      <c r="B9" s="83" t="s">
        <v>121</v>
      </c>
      <c r="C9" s="172" t="str" cm="1">
        <f t="array" ref="C9">_xlfn.LET(
    _xlpm.texto_laminado, VLOOKUP($J$7, 'Base de Datos Probetas'!$B$6:$G$1000, 6, FALSE),
    _xlpm.limpio, SUBSTITUTE(SUBSTITUTE(SUBSTITUTE(_xlpm.texto_laminado, "[", ""), "]", ""), " S.", ""),
    _xlpm.capas, _xlfn.TEXTSPLIT(_xlpm.limpio, "/"),
    _xlpm.num_capas, COUNTA(_xlpm.capas),
    _xlpm.indice_capa, _xlpm.num_capas - (13 - ROW()),
    IF(OR(_xlpm.indice_capa &lt; 1, _xlpm.indice_capa &gt; _xlpm.num_capas), "-",
        _xlfn.LET(
            _xlpm.val, INDEX(_xlpm.capas, 1, _xlpm.indice_capa),
            IF(_xlpm.val="+-45", "RC +-45º", IF(_xlpm.val="+-90", "RC +-90º", IF(_xlpm.val="0", "UD 0º", _xlpm.val)))
        )
    )
)</f>
        <v>-</v>
      </c>
      <c r="D9" s="10" cm="1">
        <f t="array" ref="D9">_xlfn.IFS(ISNUMBER(SEARCH("RC",C9)),$X$35,ISNUMBER(SEARCH("XC",C9)),$X$37,ISNUMBER(SEARCH("UD",C9)),$X$36,ISNUMBER(SEARCH("-",C9)),0)</f>
        <v>0</v>
      </c>
      <c r="E9" s="10" cm="1">
        <f t="array" ref="E9">_xlfn.IFS(ISNUMBER(SEARCH("RC",C9)),$X$26*0.001*$X$27*0.001*$X$30,ISNUMBER(SEARCH("XC",C9)),$X$26*0.001*$X$27*0.001*$X$32,ISNUMBER(SEARCH("UD",C9)),$X$26*0.001*$X$27*0.001*$X$31,ISNUMBER(SEARCH("-",C9)),0)</f>
        <v>0</v>
      </c>
      <c r="F9" s="10" cm="1">
        <f t="array" ref="F9" xml:space="preserve"> _xlfn.IFS(ISNUMBER(SEARCH("RC",C9)),E9/(1-$Z$35),ISNUMBER(SEARCH("UD",C9)),E9/(1-$Z$36),ISNUMBER(SEARCH("UD",C9)),E9/(1-$Z$37),ISNUMBER(SEARCH("-",C9)),0)</f>
        <v>0</v>
      </c>
      <c r="G9" s="28" cm="1">
        <f t="array" ref="G9">_xlfn.IFS(
   C9="-", 0,
   ISNUMBER(SEARCH($W$16,C9)), E9*0,
   ISNUMBER(SEARCH($W$17,C9)), E9*0.5,
   ISNUMBER(SEARCH($W$23,C9)), E9*0.5, ISNUMBER(SEARCH($W$22,C9)), E9*0,
   ISNUMBER(SEARCH($W$18,C9)), E9*1,
   OR(ISNUMBER(SEARCH($W$19,C9)),ISNUMBER(SEARCH($W$20,C9)),ISNUMBER(SEARCH($W$21,C9))), E9*0,
   TRUE, 0)</f>
        <v>0</v>
      </c>
      <c r="I9" s="27" t="s">
        <v>122</v>
      </c>
      <c r="J9" s="173">
        <f>IF(VLOOKUP(J7,'Base de Datos Probetas'!B6:M1000,7,FALSE)=0,"-",VLOOKUP(J7,'Base de Datos Probetas'!B6:M1000,7,FALSE))</f>
        <v>2.0251769999999998</v>
      </c>
      <c r="K9" s="17" t="s">
        <v>123</v>
      </c>
      <c r="L9" s="49">
        <f>IF(VLOOKUP(J7,'Base de Datos Probetas'!B6:M1000,9,FALSE)=0,"-",VLOOKUP(J7,'Base de Datos Probetas'!B6:M1000,9,FALSE))</f>
        <v>6160.3130000000001</v>
      </c>
      <c r="S9" s="220" t="s">
        <v>124</v>
      </c>
      <c r="T9" s="203">
        <f>IF(OR(I7="SISv",I7="SISh"),"NA",T7/T8)</f>
        <v>3.3467547937773978</v>
      </c>
      <c r="U9" s="204"/>
      <c r="W9" s="20" t="s">
        <v>125</v>
      </c>
      <c r="X9" s="12">
        <f>Y5*Y6</f>
        <v>292.84059999999994</v>
      </c>
      <c r="Y9" s="15" t="s">
        <v>126</v>
      </c>
      <c r="Z9" s="12">
        <f>(Y5*Y6^3)/12</f>
        <v>33.979270953333305</v>
      </c>
    </row>
    <row r="10" spans="2:28" ht="20.100000000000001" customHeight="1">
      <c r="B10" s="83" t="s">
        <v>127</v>
      </c>
      <c r="C10" s="172" t="str" cm="1">
        <f t="array" ref="C10">_xlfn.LET(
    _xlpm.texto_laminado, VLOOKUP($J$7, 'Base de Datos Probetas'!$B$6:$G$1000, 6, FALSE),
    _xlpm.limpio, SUBSTITUTE(SUBSTITUTE(SUBSTITUTE(_xlpm.texto_laminado, "[", ""), "]", ""), " S.", ""),
    _xlpm.capas, _xlfn.TEXTSPLIT(_xlpm.limpio, "/"),
    _xlpm.num_capas, COUNTA(_xlpm.capas),
    _xlpm.indice_capa, _xlpm.num_capas - (13 - ROW()),
    IF(OR(_xlpm.indice_capa &lt; 1, _xlpm.indice_capa &gt; _xlpm.num_capas), "-",
        _xlfn.LET(
            _xlpm.val, INDEX(_xlpm.capas, 1, _xlpm.indice_capa),
            IF(_xlpm.val="+-45", "RC +-45º", IF(_xlpm.val="+-90", "RC +-90º", IF(_xlpm.val="0", "UD 0º", _xlpm.val)))
        )
    )
)</f>
        <v>-</v>
      </c>
      <c r="D10" s="10" cm="1">
        <f t="array" ref="D10">_xlfn.IFS(ISNUMBER(SEARCH("RC",C10)),$X$35,ISNUMBER(SEARCH("XC",C10)),$X$37,ISNUMBER(SEARCH("UD",C10)),$X$36,ISNUMBER(SEARCH("-",C10)),0)</f>
        <v>0</v>
      </c>
      <c r="E10" s="10" cm="1">
        <f t="array" ref="E10">_xlfn.IFS(ISNUMBER(SEARCH("RC",C10)),$X$26*0.001*$X$27*0.001*$X$30,ISNUMBER(SEARCH("XC",C10)),$X$26*0.001*$X$27*0.001*$X$32,ISNUMBER(SEARCH("UD",C10)),$X$26*0.001*$X$27*0.001*$X$31,ISNUMBER(SEARCH("-",C10)),0)</f>
        <v>0</v>
      </c>
      <c r="F10" s="10" cm="1">
        <f t="array" ref="F10" xml:space="preserve"> _xlfn.IFS(ISNUMBER(SEARCH("RC",C10)),E10/(1-$Z$35),ISNUMBER(SEARCH("UD",C10)),E10/(1-$Z$36),ISNUMBER(SEARCH("UD",C10)),E10/(1-$Z$37),ISNUMBER(SEARCH("-",C10)),0)</f>
        <v>0</v>
      </c>
      <c r="G10" s="28" cm="1">
        <f t="array" ref="G10">_xlfn.IFS(
   C10="-", 0,
   ISNUMBER(SEARCH($W$16,C10)), E10*0,
   ISNUMBER(SEARCH($W$17,C10)), E10*0.5,
   ISNUMBER(SEARCH($W$23,C10)), E10*0.5, ISNUMBER(SEARCH($W$22,C10)), E10*0,
   ISNUMBER(SEARCH($W$18,C10)), E10*1,
   OR(ISNUMBER(SEARCH($W$19,C10)),ISNUMBER(SEARCH($W$20,C10)),ISNUMBER(SEARCH($W$21,C10))), E10*0,
   TRUE, 0)</f>
        <v>0</v>
      </c>
      <c r="I10" s="34" t="s">
        <v>128</v>
      </c>
      <c r="J10" s="174">
        <f>IF(VLOOKUP(J7,'Base de Datos Probetas'!B6:M1000,8,FALSE)=0,"-",VLOOKUP(J7,'Base de Datos Probetas'!B6:M1000,8,FALSE))</f>
        <v>3.5096430000000001</v>
      </c>
      <c r="K10" s="53" t="s">
        <v>129</v>
      </c>
      <c r="L10" s="175">
        <f>IF(VLOOKUP(J7,'Base de Datos Probetas'!B6:M1000,10,FALSE)=0,"-",VLOOKUP(J7,'Base de Datos Probetas'!B6:M1000,10,FALSE))</f>
        <v>11511.62</v>
      </c>
      <c r="P10" s="218" t="s">
        <v>130</v>
      </c>
      <c r="Q10" s="219"/>
      <c r="S10" s="221"/>
      <c r="T10" s="205"/>
      <c r="U10" s="206"/>
      <c r="W10" s="14" t="s">
        <v>27</v>
      </c>
      <c r="X10" s="30">
        <f>X6/2</f>
        <v>0.58999999999999986</v>
      </c>
      <c r="Y10" s="14" t="s">
        <v>131</v>
      </c>
      <c r="Z10" s="30">
        <f>Z8+(X8*(X12-X10)^2)</f>
        <v>32875.496163813317</v>
      </c>
    </row>
    <row r="11" spans="2:28" ht="20.100000000000001" customHeight="1">
      <c r="B11" s="83" t="s">
        <v>132</v>
      </c>
      <c r="C11" s="172" t="str" cm="1">
        <f t="array" ref="C11">_xlfn.LET(
    _xlpm.texto_laminado, VLOOKUP($J$7, 'Base de Datos Probetas'!$B$6:$G$1000, 6, FALSE),
    _xlpm.limpio, SUBSTITUTE(SUBSTITUTE(SUBSTITUTE(_xlpm.texto_laminado, "[", ""), "]", ""), " S.", ""),
    _xlpm.capas, _xlfn.TEXTSPLIT(_xlpm.limpio, "/"),
    _xlpm.num_capas, COUNTA(_xlpm.capas),
    _xlpm.indice_capa, _xlpm.num_capas - (13 - ROW()),
    IF(OR(_xlpm.indice_capa &lt; 1, _xlpm.indice_capa &gt; _xlpm.num_capas), "-",
        _xlfn.LET(
            _xlpm.val, INDEX(_xlpm.capas, 1, _xlpm.indice_capa),
            IF(_xlpm.val="+-45", "RC +-45º", IF(_xlpm.val="+-90", "RC +-90º", IF(_xlpm.val="0", "UD 0º", _xlpm.val)))
        )
    )
)</f>
        <v>RC +-90º</v>
      </c>
      <c r="D11" s="10" cm="1">
        <f t="array" ref="D11">_xlfn.IFS(ISNUMBER(SEARCH("RC",C11)),$X$35,ISNUMBER(SEARCH("XC",C11)),$X$37,ISNUMBER(SEARCH("UD",C11)),$X$36,ISNUMBER(SEARCH("-",C11)),0)</f>
        <v>0.44</v>
      </c>
      <c r="E11" s="10" cm="1">
        <f t="array" ref="E11">_xlfn.IFS(ISNUMBER(SEARCH("RC",C11)),$X$26*0.001*$X$27*0.001*$X$30,ISNUMBER(SEARCH("XC",C11)),$X$26*0.001*$X$27*0.001*$X$32,ISNUMBER(SEARCH("UD",C11)),$X$26*0.001*$X$27*0.001*$X$31,ISNUMBER(SEARCH("-",C11)),0)</f>
        <v>57.2</v>
      </c>
      <c r="F11" s="10" cm="1">
        <f t="array" ref="F11" xml:space="preserve"> _xlfn.IFS(ISNUMBER(SEARCH("RC",C11)),E11/(1-$Z$35),ISNUMBER(SEARCH("UD",C11)),E11/(1-$Z$36),ISNUMBER(SEARCH("UD",C11)),E11/(1-$Z$37),ISNUMBER(SEARCH("-",C11)),0)</f>
        <v>95.333333333333343</v>
      </c>
      <c r="G11" s="28" cm="1">
        <f t="array" ref="G11">_xlfn.IFS(
   C11="-", 0,
   ISNUMBER(SEARCH($W$16,C11)), E11*0,
   ISNUMBER(SEARCH($W$17,C11)), E11*0.5,
   ISNUMBER(SEARCH($W$23,C11)), E11*0.5, ISNUMBER(SEARCH($W$22,C11)), E11*0,
   ISNUMBER(SEARCH($W$18,C11)), E11*1,
   OR(ISNUMBER(SEARCH($W$19,C11)),ISNUMBER(SEARCH($W$20,C11)),ISNUMBER(SEARCH($W$21,C11))), E11*0,
   TRUE, 0)</f>
        <v>28.6</v>
      </c>
      <c r="I11" s="1" t="s">
        <v>133</v>
      </c>
      <c r="J11" s="75">
        <f>IFERROR(((L10-L9)/(J10-J9)),"-")</f>
        <v>3604.8700340728583</v>
      </c>
      <c r="K11" s="73" t="s">
        <v>29</v>
      </c>
      <c r="L11" s="176">
        <f>IF(VLOOKUP(J7,'Base de Datos Probetas'!B6:M1000,11,FALSE)=0,"-",VLOOKUP(J7,'Base de Datos Probetas'!B6:M1000,11,FALSE))</f>
        <v>20742.53</v>
      </c>
      <c r="O11" s="17" t="s">
        <v>134</v>
      </c>
      <c r="P11" s="232" t="str">
        <f>IF(I7="FBH",(AB29+AB30)*0.002*(D18/1000)*P8*10^6,"Not Needed")</f>
        <v>Not Needed</v>
      </c>
      <c r="Q11" s="233"/>
      <c r="W11" s="21" t="s">
        <v>28</v>
      </c>
      <c r="X11" s="13">
        <f>((D14+SUM(D6:D13)*2)-0.5*D18)</f>
        <v>21.77</v>
      </c>
      <c r="Y11" s="21" t="s">
        <v>135</v>
      </c>
      <c r="Z11" s="13">
        <f>Z9+(X9*(X12-X11)^2)</f>
        <v>32875.496163813339</v>
      </c>
    </row>
    <row r="12" spans="2:28" ht="20.100000000000001" customHeight="1">
      <c r="B12" s="83" t="s">
        <v>136</v>
      </c>
      <c r="C12" s="172" t="str" cm="1">
        <f t="array" ref="C12">_xlfn.LET(
    _xlpm.texto_laminado, VLOOKUP($J$7, 'Base de Datos Probetas'!$B$6:$G$1000, 6, FALSE),
    _xlpm.limpio, SUBSTITUTE(SUBSTITUTE(SUBSTITUTE(_xlpm.texto_laminado, "[", ""), "]", ""), " S.", ""),
    _xlpm.capas, _xlfn.TEXTSPLIT(_xlpm.limpio, "/"),
    _xlpm.num_capas, COUNTA(_xlpm.capas),
    _xlpm.indice_capa, _xlpm.num_capas - (13 - ROW()),
    IF(OR(_xlpm.indice_capa &lt; 1, _xlpm.indice_capa &gt; _xlpm.num_capas), "-",
        _xlfn.LET(
            _xlpm.val, INDEX(_xlpm.capas, 1, _xlpm.indice_capa),
            IF(_xlpm.val="+-45", "RC +-45º", IF(_xlpm.val="+-90", "RC +-90º", IF(_xlpm.val="0", "UD 0º", _xlpm.val)))
        )
    )
)</f>
        <v>UD 0º</v>
      </c>
      <c r="D12" s="10" cm="1">
        <f t="array" ref="D12">_xlfn.IFS(ISNUMBER(SEARCH("RC",C12)),$X$35,ISNUMBER(SEARCH("XC",C12)),$X$37,ISNUMBER(SEARCH("UD",C12)),$X$36,ISNUMBER(SEARCH("-",C12)),0)</f>
        <v>0.3</v>
      </c>
      <c r="E12" s="10" cm="1">
        <f t="array" ref="E12">_xlfn.IFS(ISNUMBER(SEARCH("RC",C12)),$X$26*0.001*$X$27*0.001*$X$30,ISNUMBER(SEARCH("XC",C12)),$X$26*0.001*$X$27*0.001*$X$32,ISNUMBER(SEARCH("UD",C12)),$X$26*0.001*$X$27*0.001*$X$31,ISNUMBER(SEARCH("-",C12)),0)</f>
        <v>41.25</v>
      </c>
      <c r="F12" s="10" cm="1">
        <f t="array" ref="F12" xml:space="preserve"> _xlfn.IFS(ISNUMBER(SEARCH("RC",C12)),E12/(1-$Z$35),ISNUMBER(SEARCH("UD",C12)),E12/(1-$Z$36),ISNUMBER(SEARCH("UD",C12)),E12/(1-$Z$37),ISNUMBER(SEARCH("-",C12)),0)</f>
        <v>63.46153846153846</v>
      </c>
      <c r="G12" s="28" cm="1">
        <f t="array" ref="G12">_xlfn.IFS(
   C12="-", 0,
   ISNUMBER(SEARCH($W$16,C12)), E12*0,
   ISNUMBER(SEARCH($W$17,C12)), E12*0.5,
   ISNUMBER(SEARCH($W$23,C12)), E12*0.5, ISNUMBER(SEARCH($W$22,C12)), E12*0,
   ISNUMBER(SEARCH($W$18,C12)), E12*1,
   OR(ISNUMBER(SEARCH($W$19,C12)),ISNUMBER(SEARCH($W$20,C12)),ISNUMBER(SEARCH($W$21,C12))), E12*0,
   TRUE, 0)</f>
        <v>41.25</v>
      </c>
      <c r="O12" s="57" t="s">
        <v>118</v>
      </c>
      <c r="P12" s="266" t="str">
        <f>IF(P11="Not Needed","Not Needed",510000)</f>
        <v>Not Needed</v>
      </c>
      <c r="Q12" s="235"/>
      <c r="T12" s="207" t="s">
        <v>137</v>
      </c>
      <c r="U12" s="208"/>
      <c r="W12" s="21" t="s">
        <v>138</v>
      </c>
      <c r="X12" s="13">
        <f>(X8*X10+X9*X11)/(X8+X9)</f>
        <v>11.179999999999998</v>
      </c>
      <c r="Y12" s="23" t="s">
        <v>139</v>
      </c>
      <c r="Z12" s="72">
        <f>Z10+Z11</f>
        <v>65750.992327626649</v>
      </c>
    </row>
    <row r="13" spans="2:28" ht="20.100000000000001" customHeight="1">
      <c r="B13" s="83" t="s">
        <v>140</v>
      </c>
      <c r="C13" s="172" t="str" cm="1">
        <f t="array" ref="C13">_xlfn.LET(
    _xlpm.texto_laminado, VLOOKUP($J$7, 'Base de Datos Probetas'!$B$6:$G$1000, 6, FALSE),
    _xlpm.limpio, SUBSTITUTE(SUBSTITUTE(SUBSTITUTE(_xlpm.texto_laminado, "[", ""), "]", ""), " S.", ""),
    _xlpm.capas, _xlfn.TEXTSPLIT(_xlpm.limpio, "/"),
    _xlpm.num_capas, COUNTA(_xlpm.capas),
    _xlpm.indice_capa, _xlpm.num_capas - (13 - ROW()),
    IF(OR(_xlpm.indice_capa &lt; 1, _xlpm.indice_capa &gt; _xlpm.num_capas), "-",
        _xlfn.LET(
            _xlpm.val, INDEX(_xlpm.capas, 1, _xlpm.indice_capa),
            IF(_xlpm.val="+-45", "RC +-45º", IF(_xlpm.val="+-90", "RC +-90º", IF(_xlpm.val="0", "UD 0º", _xlpm.val)))
        )
    )
)</f>
        <v>RC +-45º</v>
      </c>
      <c r="D13" s="10" cm="1">
        <f t="array" ref="D13">_xlfn.IFS(ISNUMBER(SEARCH("RC",C13)),$X$35,ISNUMBER(SEARCH("XC",C13)),$X$37,ISNUMBER(SEARCH("UD",C13)),$X$36,ISNUMBER(SEARCH("-",C13)),0)</f>
        <v>0.44</v>
      </c>
      <c r="E13" s="10" cm="1">
        <f t="array" ref="E13">_xlfn.IFS(ISNUMBER(SEARCH("RC",C13)),$X$26*0.001*$X$27*0.001*$X$30,ISNUMBER(SEARCH("XC",C13)),$X$26*0.001*$X$27*0.001*$X$32,ISNUMBER(SEARCH("UD",C13)),$X$26*0.001*$X$27*0.001*$X$31,ISNUMBER(SEARCH("-",C13)),0)</f>
        <v>57.2</v>
      </c>
      <c r="F13" s="10" cm="1">
        <f t="array" ref="F13" xml:space="preserve"> _xlfn.IFS(ISNUMBER(SEARCH("RC",C13)),E13/(1-$Z$35),ISNUMBER(SEARCH("UD",C13)),E13/(1-$Z$36),ISNUMBER(SEARCH("UD",C13)),E13/(1-$Z$37),ISNUMBER(SEARCH("-",C13)),0)</f>
        <v>95.333333333333343</v>
      </c>
      <c r="G13" s="28" cm="1">
        <f t="array" ref="G13">_xlfn.IFS(
   C13="-", 0,
   ISNUMBER(SEARCH($W$16,C13)), E13*0,
   ISNUMBER(SEARCH($W$17,C13)), E13*0.5,
   ISNUMBER(SEARCH($W$23,C13)), E13*0.5, ISNUMBER(SEARCH($W$22,C13)), E13*0,
   ISNUMBER(SEARCH($W$18,C13)), E13*1,
   OR(ISNUMBER(SEARCH($W$19,C13)),ISNUMBER(SEARCH($W$20,C13)),ISNUMBER(SEARCH($W$21,C13))), E13*0,
   TRUE, 0)</f>
        <v>0</v>
      </c>
      <c r="O13" s="237" t="s">
        <v>124</v>
      </c>
      <c r="P13" s="267" t="str">
        <f>IF(P11="Not Needed","Not Needed",P11/P12)</f>
        <v>Not Needed</v>
      </c>
      <c r="Q13" s="268"/>
      <c r="R13" s="56"/>
      <c r="S13" s="57" t="s">
        <v>19</v>
      </c>
      <c r="T13" s="223">
        <f>AB27*AB5/1000000</f>
        <v>186414.24201340106</v>
      </c>
      <c r="U13" s="224"/>
    </row>
    <row r="14" spans="2:28" ht="20.100000000000001" customHeight="1">
      <c r="B14" s="260" t="s">
        <v>141</v>
      </c>
      <c r="C14" s="261"/>
      <c r="D14" s="2">
        <f>IF(VLOOKUP(J7,'Base de Datos Probetas'!B6:O1000,3,FALSE)=0,"N/A",VLOOKUP(J7,'Base de Datos Probetas'!B6:O1000,3,FALSE))</f>
        <v>20</v>
      </c>
      <c r="E14" s="2" cm="1">
        <f t="array" ref="E14">_xlfn.LET(
    _xlpm.sel,$J$7,
    _xlpm.material,_xlfn.XLOOKUP(_xlpm.sel,'Base de Datos Probetas'!$B:$B,'Base de Datos Probetas'!$C:$C,""),
    IF(
        ISNUMBER(SEARCH("HC",_xlpm.material)),
        X40*1000*(D14/1000)*X26*0.001*X27*0.001,
        IF(
            ISNUMBER(SEARCH("Balsa",_xlpm.material)),
            X41*1000*(D14/1000)*X26*0.001*X27*0.001,
            ""
        )
    )
)</f>
        <v>198.27500000000001</v>
      </c>
      <c r="F14" s="2">
        <f>E14</f>
        <v>198.27500000000001</v>
      </c>
      <c r="G14" s="3" t="s">
        <v>47</v>
      </c>
      <c r="J14" s="194" t="s">
        <v>142</v>
      </c>
      <c r="K14" s="255"/>
      <c r="L14" s="194" t="s">
        <v>143</v>
      </c>
      <c r="M14" s="255"/>
      <c r="O14" s="221"/>
      <c r="P14" s="269"/>
      <c r="Q14" s="270"/>
      <c r="R14" s="61"/>
      <c r="S14" s="64" t="s">
        <v>118</v>
      </c>
      <c r="T14" s="223" cm="1">
        <f t="array" ref="T14">_xlfn.IFS(
   I7="FBH", 87300,
   I7="FHB", 43700,
   I7="FBHS", 99900,
   I7="SHB", 63300,
   I7="MHBS", 66600,
   I7="SISv", 131000,
   I7="SISh", 131000)</f>
        <v>66600</v>
      </c>
      <c r="U14" s="224"/>
    </row>
    <row r="15" spans="2:28" ht="20.100000000000001" customHeight="1">
      <c r="I15" s="27" t="s">
        <v>144</v>
      </c>
      <c r="J15" s="258">
        <f>(1/12)*(X27*(((D14+SUM(D6:D13)*2)^3)-(D14^3)))</f>
        <v>72859.422533333302</v>
      </c>
      <c r="K15" s="259"/>
      <c r="L15" s="258">
        <f>Z12</f>
        <v>65750.992327626649</v>
      </c>
      <c r="M15" s="259"/>
      <c r="R15" s="62"/>
      <c r="S15" s="220" t="s">
        <v>124</v>
      </c>
      <c r="T15" s="203">
        <f>IF(OR(I7="SISv",I7="SISh"),"NA",T13/T14)</f>
        <v>2.7990126428438598</v>
      </c>
      <c r="U15" s="204"/>
      <c r="W15" s="17" t="s">
        <v>145</v>
      </c>
      <c r="X15" s="47" t="s">
        <v>146</v>
      </c>
      <c r="Y15" s="18" t="s">
        <v>147</v>
      </c>
      <c r="Z15" s="19" t="s">
        <v>148</v>
      </c>
    </row>
    <row r="16" spans="2:28" ht="20.100000000000001" customHeight="1">
      <c r="B16" s="229" t="s">
        <v>149</v>
      </c>
      <c r="C16" s="231"/>
      <c r="D16" s="6" t="str">
        <f>_xlfn.CONCAT((D14+SUM(D6:D13)*2)," mm")</f>
        <v>22,36 mm</v>
      </c>
      <c r="E16" s="29" t="str">
        <f>_xlfn.CONCAT(E14+SUM(E6:E13)*2," g")</f>
        <v>509,575 g</v>
      </c>
      <c r="F16" s="88">
        <f>SUM(F6:F13)*2+F14</f>
        <v>706.53141025641025</v>
      </c>
      <c r="G16" s="7" t="str">
        <f>_xlfn.CONCAT(SUM(G6:G13)*2, " g")</f>
        <v>139,7 g</v>
      </c>
      <c r="I16" s="19" t="s">
        <v>150</v>
      </c>
      <c r="J16" s="262">
        <f>J15/10^12</f>
        <v>7.2859422533333302E-8</v>
      </c>
      <c r="K16" s="263"/>
      <c r="L16" s="262">
        <f>L15/10^12</f>
        <v>6.5750992327626655E-8</v>
      </c>
      <c r="M16" s="263"/>
      <c r="O16" s="207" t="s">
        <v>151</v>
      </c>
      <c r="P16" s="201"/>
      <c r="Q16" s="222"/>
      <c r="R16" s="33"/>
      <c r="S16" s="221"/>
      <c r="T16" s="205"/>
      <c r="U16" s="206"/>
      <c r="W16" s="36" t="s">
        <v>152</v>
      </c>
      <c r="X16" s="43">
        <f>COUNTIF($C$6:$C$14,W16)</f>
        <v>1</v>
      </c>
      <c r="Y16" s="44">
        <f>X16*0.5</f>
        <v>0.5</v>
      </c>
      <c r="Z16" s="11">
        <f>8-COUNTIF(C6:C13,"")</f>
        <v>8</v>
      </c>
    </row>
    <row r="17" spans="2:28" ht="20.100000000000001" customHeight="1">
      <c r="C17" s="19" t="s">
        <v>21</v>
      </c>
      <c r="D17" s="49">
        <f>D14</f>
        <v>20</v>
      </c>
      <c r="J17" s="33"/>
      <c r="K17" s="33"/>
      <c r="L17" s="33"/>
      <c r="M17" s="33"/>
      <c r="O17" s="209" t="s">
        <v>112</v>
      </c>
      <c r="P17" s="210"/>
      <c r="Q17" s="78">
        <f>IFERROR(T9,"-")</f>
        <v>3.3467547937773978</v>
      </c>
      <c r="R17" s="33"/>
      <c r="S17" s="33"/>
      <c r="W17" s="38" t="s">
        <v>153</v>
      </c>
      <c r="X17" s="8">
        <f t="shared" ref="X17:X23" si="0">COUNTIF($C$6:$C$14,W17)</f>
        <v>1</v>
      </c>
      <c r="Y17" s="45">
        <f>X17*0.5</f>
        <v>0.5</v>
      </c>
    </row>
    <row r="18" spans="2:28" ht="20.100000000000001" customHeight="1">
      <c r="C18" s="54" t="s">
        <v>154</v>
      </c>
      <c r="D18" s="50">
        <f>((D14+SUM(D6:D13)*2)-D14)/2</f>
        <v>1.1799999999999997</v>
      </c>
      <c r="J18" s="1" t="s">
        <v>155</v>
      </c>
      <c r="K18" s="48">
        <f>IFERROR((J11*(J10-J9)*AB24^3)/(48*AB4*(J10-J9))*0.001,"-")</f>
        <v>65.969413586346107</v>
      </c>
      <c r="L18" s="33"/>
      <c r="M18" s="33"/>
      <c r="O18" s="271" t="s">
        <v>137</v>
      </c>
      <c r="P18" s="272"/>
      <c r="Q18" s="79">
        <f>IFERROR(T15,"-")</f>
        <v>2.7990126428438598</v>
      </c>
      <c r="R18" s="33"/>
      <c r="T18" s="199" t="s">
        <v>156</v>
      </c>
      <c r="U18" s="222"/>
      <c r="W18" s="38" t="s">
        <v>157</v>
      </c>
      <c r="X18" s="8">
        <f t="shared" si="0"/>
        <v>1</v>
      </c>
      <c r="Y18" s="45">
        <f>X18*1</f>
        <v>1</v>
      </c>
    </row>
    <row r="19" spans="2:28" ht="20.100000000000001" customHeight="1">
      <c r="J19" s="35"/>
      <c r="L19" s="33"/>
      <c r="M19" s="33"/>
      <c r="O19" s="264" t="s">
        <v>156</v>
      </c>
      <c r="P19" s="265"/>
      <c r="Q19" s="81">
        <f>IFERROR(T21,"-")</f>
        <v>4.8620294404722539</v>
      </c>
      <c r="R19" s="65"/>
      <c r="S19" s="57" t="s">
        <v>19</v>
      </c>
      <c r="T19" s="223">
        <f>4*AB5*L16/(0.001*0.5*(D17+2*D18))</f>
        <v>7487.5253383272711</v>
      </c>
      <c r="U19" s="224"/>
      <c r="W19" s="38" t="s">
        <v>158</v>
      </c>
      <c r="X19" s="8">
        <f t="shared" si="0"/>
        <v>0</v>
      </c>
      <c r="Y19" s="45">
        <f>X19*0</f>
        <v>0</v>
      </c>
    </row>
    <row r="20" spans="2:28" ht="20.100000000000001" customHeight="1">
      <c r="B20" s="244" t="s">
        <v>159</v>
      </c>
      <c r="C20" s="245"/>
      <c r="E20" s="244" t="s">
        <v>160</v>
      </c>
      <c r="F20" s="250"/>
      <c r="G20" s="245"/>
      <c r="K20" s="246" t="s">
        <v>161</v>
      </c>
      <c r="L20" s="247"/>
      <c r="M20" s="33"/>
      <c r="O20" s="264" t="s">
        <v>162</v>
      </c>
      <c r="P20" s="265"/>
      <c r="Q20" s="80">
        <f>IFERROR(T27,"-")</f>
        <v>0.61638676094968703</v>
      </c>
      <c r="R20" s="66"/>
      <c r="S20" s="64" t="s">
        <v>118</v>
      </c>
      <c r="T20" s="223" cm="1">
        <f t="array" ref="T20">_xlfn.IFS(
   I7="FBH", 1960,
   I7="FHB", 978,
   I7="FBHS", 2310,
   I7="SHB", 1330,
   I7="MHBS", 1540,
   I7="SISv", 2930,
   I7="SISh", 2930)</f>
        <v>1540</v>
      </c>
      <c r="U20" s="224"/>
      <c r="W20" s="38" t="s">
        <v>163</v>
      </c>
      <c r="X20" s="8">
        <f t="shared" si="0"/>
        <v>0</v>
      </c>
      <c r="Y20" s="45">
        <f>X20*0</f>
        <v>0</v>
      </c>
    </row>
    <row r="21" spans="2:28" ht="20.100000000000001" customHeight="1">
      <c r="B21" s="248">
        <f>(SUM(G6:G13)/SUM(E6:E13))</f>
        <v>0.4487632508833922</v>
      </c>
      <c r="C21" s="249"/>
      <c r="E21" s="248">
        <f>ABS((SUMIF(C6:C13,"UD 0º",G6:G13)-((X26*0.001*X27*0.001)*X31*X21))/SUM(E6:E13))</f>
        <v>0.26501766784452296</v>
      </c>
      <c r="F21" s="251"/>
      <c r="G21" s="249"/>
      <c r="J21" s="27" t="s">
        <v>134</v>
      </c>
      <c r="K21" s="242">
        <f>IFERROR(IF(J10-J9&lt;1,"Distancia entre x1 y x2 &lt; 1mm",K18*10^9*L16),"-")</f>
        <v>4337.5544065738723</v>
      </c>
      <c r="L21" s="243"/>
      <c r="O21" s="209" t="s">
        <v>164</v>
      </c>
      <c r="P21" s="210"/>
      <c r="Q21" s="82">
        <f>IFERROR(T33,"-")</f>
        <v>14.602577532998218</v>
      </c>
      <c r="R21" s="60"/>
      <c r="S21" s="225" t="s">
        <v>124</v>
      </c>
      <c r="T21" s="203">
        <f>IF(OR(I7="SISv",I7="SISh"),"NA",T19/T20)</f>
        <v>4.8620294404722539</v>
      </c>
      <c r="U21" s="204"/>
      <c r="W21" s="38" t="s">
        <v>165</v>
      </c>
      <c r="X21" s="8">
        <f t="shared" si="0"/>
        <v>0</v>
      </c>
      <c r="Y21" s="45">
        <f>X21*0</f>
        <v>0</v>
      </c>
    </row>
    <row r="22" spans="2:28" ht="19.5" customHeight="1">
      <c r="J22" s="76" t="s">
        <v>118</v>
      </c>
      <c r="K22" s="234" cm="1">
        <f t="array" ref="K22">_xlfn.IFS(
   I7="FBH", 3400,
   I7="FHB", 1700,
   I7="FBHS", 4020,
   I7="SHB", 2320,
   I7="MHBS", 2680,
   I7="SISv", 5110,
   I7="SISh", 5110)</f>
        <v>2680</v>
      </c>
      <c r="L22" s="235"/>
      <c r="R22" s="67"/>
      <c r="S22" s="226"/>
      <c r="T22" s="205"/>
      <c r="U22" s="206"/>
      <c r="W22" s="38" t="s">
        <v>166</v>
      </c>
      <c r="X22" s="8">
        <f t="shared" si="0"/>
        <v>0</v>
      </c>
      <c r="Y22" s="45">
        <f>X22*0.5</f>
        <v>0</v>
      </c>
    </row>
    <row r="23" spans="2:28" ht="20.100000000000001" customHeight="1">
      <c r="J23" s="237" t="s">
        <v>124</v>
      </c>
      <c r="K23" s="238">
        <f>IFERROR(K21/K22,"-")</f>
        <v>1.6184904502141315</v>
      </c>
      <c r="L23" s="239"/>
      <c r="W23" s="40" t="s">
        <v>167</v>
      </c>
      <c r="X23" s="46">
        <f t="shared" si="0"/>
        <v>0</v>
      </c>
      <c r="Y23" s="41">
        <f>X23*0.5</f>
        <v>0</v>
      </c>
    </row>
    <row r="24" spans="2:28" ht="20.100000000000001" customHeight="1">
      <c r="J24" s="221"/>
      <c r="K24" s="240"/>
      <c r="L24" s="241"/>
      <c r="M24" s="58"/>
      <c r="T24" s="207" t="s">
        <v>162</v>
      </c>
      <c r="U24" s="208"/>
      <c r="AA24" s="19" t="s">
        <v>168</v>
      </c>
      <c r="AB24" s="26">
        <v>400</v>
      </c>
    </row>
    <row r="25" spans="2:28" ht="20.100000000000001" customHeight="1">
      <c r="J25" s="236" t="str" cm="1">
        <f t="array" ref="J25">_xlfn.IFS(
   I7="", "Elige un panel",
   I7="FHB", " ",
   I7="FBHS", " ",
   I7="SHB", " ",
   I7="MHBS", " ",
   I7="FBH", "La calculadora no hace 3PB para FBH",
   I7="SISv", "Calma, Falta sumarle el SISh, van en pack y el EI Objetivo es la suma del EI de ambos paneles",
   I7="SISh", "Calma, Falta sumarle el SISh, van en pack y el EI Objetivo es la suma del EI de ambos paneles")</f>
        <v xml:space="preserve"> </v>
      </c>
      <c r="K25" s="236"/>
      <c r="L25" s="236"/>
      <c r="M25" s="58"/>
      <c r="S25" s="57" t="s">
        <v>19</v>
      </c>
      <c r="T25" s="223">
        <f>T20/(48*K21)</f>
        <v>7.3966411313962444E-3</v>
      </c>
      <c r="U25" s="224"/>
      <c r="W25" s="229" t="s">
        <v>169</v>
      </c>
      <c r="X25" s="230"/>
      <c r="Y25" s="231"/>
    </row>
    <row r="26" spans="2:28" ht="20.100000000000001" customHeight="1">
      <c r="J26" s="236"/>
      <c r="K26" s="236"/>
      <c r="L26" s="236"/>
      <c r="M26" s="58"/>
      <c r="S26" s="64" t="s">
        <v>118</v>
      </c>
      <c r="T26" s="223" cm="1">
        <f t="array" ref="T26">_xlfn.IFS(
   I7="FBH", 0.012,
   I7="FHB", 0.012,
   I7="FBHS", 0.012,
   I7="SHB", 0.012,
   I7="MHBS", 0.012,
   I7="SISv", 0.012,
   I7="SISh", 0.012)</f>
        <v>1.2E-2</v>
      </c>
      <c r="U26" s="224"/>
      <c r="W26" s="14" t="s">
        <v>170</v>
      </c>
      <c r="X26" s="227">
        <v>500</v>
      </c>
      <c r="Y26" s="228"/>
    </row>
    <row r="27" spans="2:28" ht="20.100000000000001" customHeight="1">
      <c r="J27" s="236"/>
      <c r="K27" s="236"/>
      <c r="L27" s="236"/>
      <c r="O27" s="111"/>
      <c r="P27" s="111"/>
      <c r="Q27" s="59"/>
      <c r="S27" s="220" t="s">
        <v>124</v>
      </c>
      <c r="T27" s="203">
        <f>IF(OR(I7="SISv",I7="SISh"),"NA",T25/T26)</f>
        <v>0.61638676094968703</v>
      </c>
      <c r="U27" s="204"/>
      <c r="W27" s="21" t="s">
        <v>171</v>
      </c>
      <c r="X27" s="211">
        <v>275</v>
      </c>
      <c r="Y27" s="212"/>
      <c r="AA27" s="73" t="s">
        <v>172</v>
      </c>
      <c r="AB27" s="63">
        <f>((D17+2*D18)-D17)*L7</f>
        <v>585.68119999999988</v>
      </c>
    </row>
    <row r="28" spans="2:28" ht="20.100000000000001" customHeight="1">
      <c r="O28" s="111"/>
      <c r="P28" s="111"/>
      <c r="Q28" s="59"/>
      <c r="S28" s="221"/>
      <c r="T28" s="205"/>
      <c r="U28" s="206"/>
    </row>
    <row r="29" spans="2:28" ht="20.100000000000001" customHeight="1"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W29" s="213" t="s">
        <v>173</v>
      </c>
      <c r="X29" s="214"/>
      <c r="AA29" s="57" t="s">
        <v>174</v>
      </c>
      <c r="AB29" s="51">
        <v>313.98</v>
      </c>
    </row>
    <row r="30" spans="2:28" ht="20.100000000000001" customHeight="1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T30" s="207" t="s">
        <v>164</v>
      </c>
      <c r="U30" s="208"/>
      <c r="W30" s="36" t="s">
        <v>175</v>
      </c>
      <c r="X30" s="37">
        <v>416</v>
      </c>
      <c r="AA30" s="64" t="s">
        <v>176</v>
      </c>
      <c r="AB30" s="71">
        <v>314</v>
      </c>
    </row>
    <row r="31" spans="2:28" ht="20.100000000000001" customHeight="1">
      <c r="D31" s="116"/>
      <c r="J31" s="116"/>
      <c r="K31" s="116"/>
      <c r="S31" s="57" t="s">
        <v>19</v>
      </c>
      <c r="T31" s="223">
        <f>0.5*T19*(T19/(48*K21))</f>
        <v>134.63576485424358</v>
      </c>
      <c r="U31" s="224"/>
      <c r="W31" s="38" t="s">
        <v>177</v>
      </c>
      <c r="X31" s="39">
        <v>300</v>
      </c>
      <c r="AA31" s="68" t="s">
        <v>178</v>
      </c>
      <c r="AB31" s="70">
        <v>165</v>
      </c>
    </row>
    <row r="32" spans="2:28" ht="20.100000000000001" customHeight="1">
      <c r="S32" s="64" t="s">
        <v>118</v>
      </c>
      <c r="T32" s="223" cm="1">
        <f t="array" ref="T32">_xlfn.IFS(
   I7="FBH", 11.7,
   I7="FHB", 5.86,
   I7="FBHS", 13.8,
   I7="SHB", 7.98,
   I7="MHBS", 9.22,
   I7="SISv", 17.6,
   I7="SISh", 17.6)</f>
        <v>9.2200000000000006</v>
      </c>
      <c r="U32" s="224"/>
      <c r="W32" s="40" t="s">
        <v>179</v>
      </c>
      <c r="X32" s="42">
        <v>416</v>
      </c>
      <c r="AA32" s="64" t="s">
        <v>180</v>
      </c>
      <c r="AB32" s="71">
        <v>165</v>
      </c>
    </row>
    <row r="33" spans="2:26" ht="20.100000000000001" customHeight="1">
      <c r="G33" s="169"/>
      <c r="S33" s="220" t="s">
        <v>124</v>
      </c>
      <c r="T33" s="203">
        <f>IF(OR(I7="SISv",I7="SISh"),"NA",T31/T32)</f>
        <v>14.602577532998218</v>
      </c>
      <c r="U33" s="204"/>
    </row>
    <row r="34" spans="2:26" ht="20.100000000000001" customHeight="1">
      <c r="S34" s="221"/>
      <c r="T34" s="205"/>
      <c r="U34" s="206"/>
      <c r="W34" s="213" t="s">
        <v>181</v>
      </c>
      <c r="X34" s="215"/>
      <c r="Y34" s="209" t="s">
        <v>182</v>
      </c>
      <c r="Z34" s="210"/>
    </row>
    <row r="35" spans="2:26" ht="20.100000000000001" customHeight="1">
      <c r="W35" s="36" t="s">
        <v>175</v>
      </c>
      <c r="X35" s="85">
        <v>0.44</v>
      </c>
      <c r="Y35" s="36" t="s">
        <v>175</v>
      </c>
      <c r="Z35" s="89">
        <v>0.4</v>
      </c>
    </row>
    <row r="36" spans="2:26" ht="20.100000000000001" customHeight="1">
      <c r="B36" s="116"/>
      <c r="W36" s="38" t="s">
        <v>177</v>
      </c>
      <c r="X36" s="86">
        <v>0.3</v>
      </c>
      <c r="Y36" s="38" t="s">
        <v>177</v>
      </c>
      <c r="Z36" s="89">
        <v>0.35</v>
      </c>
    </row>
    <row r="37" spans="2:26" ht="20.100000000000001" customHeight="1">
      <c r="W37" s="40" t="s">
        <v>179</v>
      </c>
      <c r="X37" s="87">
        <v>0.6</v>
      </c>
      <c r="Y37" s="40" t="s">
        <v>179</v>
      </c>
      <c r="Z37" s="90"/>
    </row>
    <row r="38" spans="2:26" ht="20.100000000000001" customHeight="1"/>
    <row r="39" spans="2:26" ht="13.9">
      <c r="W39" s="216" t="s">
        <v>183</v>
      </c>
      <c r="X39" s="217"/>
    </row>
    <row r="40" spans="2:26" ht="13.9">
      <c r="W40" s="36" t="s">
        <v>45</v>
      </c>
      <c r="X40" s="44">
        <v>72.099999999999994</v>
      </c>
    </row>
    <row r="41" spans="2:26" ht="13.9">
      <c r="W41" s="40" t="s">
        <v>65</v>
      </c>
      <c r="X41" s="41">
        <v>155</v>
      </c>
    </row>
    <row r="42" spans="2:26" ht="13.9"/>
    <row r="43" spans="2:26" ht="13.9">
      <c r="W43" s="264" t="s">
        <v>184</v>
      </c>
      <c r="X43" s="265"/>
    </row>
    <row r="44" spans="2:26" ht="16.5" customHeight="1">
      <c r="W44" s="36" t="s">
        <v>185</v>
      </c>
      <c r="X44" s="51">
        <v>149.97999999999999</v>
      </c>
    </row>
    <row r="45" spans="2:26" ht="16.5" customHeight="1">
      <c r="W45" s="38" t="s">
        <v>186</v>
      </c>
      <c r="X45" s="70">
        <v>121.68</v>
      </c>
    </row>
    <row r="46" spans="2:26" ht="13.9">
      <c r="W46" s="38" t="s">
        <v>187</v>
      </c>
      <c r="X46" s="70">
        <v>337.81</v>
      </c>
    </row>
    <row r="47" spans="2:26" ht="13.9">
      <c r="W47" s="38" t="s">
        <v>188</v>
      </c>
      <c r="X47" s="70">
        <v>274.86</v>
      </c>
    </row>
    <row r="48" spans="2:26" ht="16.5" customHeight="1">
      <c r="W48" s="38" t="s">
        <v>189</v>
      </c>
      <c r="X48" s="70">
        <v>185.4</v>
      </c>
    </row>
    <row r="49" spans="23:24" ht="16.5" customHeight="1">
      <c r="W49" s="38" t="s">
        <v>115</v>
      </c>
      <c r="X49" s="70">
        <v>248.17</v>
      </c>
    </row>
    <row r="50" spans="23:24" ht="16.5" customHeight="1">
      <c r="W50" s="40" t="s">
        <v>190</v>
      </c>
      <c r="X50" s="52">
        <v>101.29</v>
      </c>
    </row>
  </sheetData>
  <mergeCells count="72">
    <mergeCell ref="W43:X43"/>
    <mergeCell ref="T26:U26"/>
    <mergeCell ref="T24:U24"/>
    <mergeCell ref="T25:U25"/>
    <mergeCell ref="O4:Q4"/>
    <mergeCell ref="T12:U12"/>
    <mergeCell ref="T13:U13"/>
    <mergeCell ref="T14:U14"/>
    <mergeCell ref="O21:P21"/>
    <mergeCell ref="O19:P19"/>
    <mergeCell ref="P12:Q12"/>
    <mergeCell ref="O13:O14"/>
    <mergeCell ref="P13:Q14"/>
    <mergeCell ref="O20:P20"/>
    <mergeCell ref="O18:P18"/>
    <mergeCell ref="O17:P17"/>
    <mergeCell ref="O2:Q2"/>
    <mergeCell ref="T6:U6"/>
    <mergeCell ref="S9:S10"/>
    <mergeCell ref="T9:U10"/>
    <mergeCell ref="S2:U2"/>
    <mergeCell ref="S4:U4"/>
    <mergeCell ref="T8:U8"/>
    <mergeCell ref="T7:U7"/>
    <mergeCell ref="B16:C16"/>
    <mergeCell ref="B2:G2"/>
    <mergeCell ref="B4:G4"/>
    <mergeCell ref="I4:M4"/>
    <mergeCell ref="I2:M2"/>
    <mergeCell ref="L6:M6"/>
    <mergeCell ref="L7:M7"/>
    <mergeCell ref="J15:K15"/>
    <mergeCell ref="L15:M15"/>
    <mergeCell ref="B14:C14"/>
    <mergeCell ref="J14:K14"/>
    <mergeCell ref="L14:M14"/>
    <mergeCell ref="J16:K16"/>
    <mergeCell ref="L16:M16"/>
    <mergeCell ref="B20:C20"/>
    <mergeCell ref="K20:L20"/>
    <mergeCell ref="B21:C21"/>
    <mergeCell ref="E20:G20"/>
    <mergeCell ref="E21:G21"/>
    <mergeCell ref="P11:Q11"/>
    <mergeCell ref="K22:L22"/>
    <mergeCell ref="J25:L27"/>
    <mergeCell ref="J23:J24"/>
    <mergeCell ref="K23:L24"/>
    <mergeCell ref="K21:L21"/>
    <mergeCell ref="O16:Q16"/>
    <mergeCell ref="W39:X39"/>
    <mergeCell ref="P10:Q10"/>
    <mergeCell ref="S15:S16"/>
    <mergeCell ref="T15:U16"/>
    <mergeCell ref="T18:U18"/>
    <mergeCell ref="T19:U19"/>
    <mergeCell ref="T20:U20"/>
    <mergeCell ref="S21:S22"/>
    <mergeCell ref="T21:U22"/>
    <mergeCell ref="T31:U31"/>
    <mergeCell ref="T32:U32"/>
    <mergeCell ref="S33:S34"/>
    <mergeCell ref="T33:U34"/>
    <mergeCell ref="X26:Y26"/>
    <mergeCell ref="W25:Y25"/>
    <mergeCell ref="S27:S28"/>
    <mergeCell ref="T27:U28"/>
    <mergeCell ref="T30:U30"/>
    <mergeCell ref="Y34:Z34"/>
    <mergeCell ref="X27:Y27"/>
    <mergeCell ref="W29:X29"/>
    <mergeCell ref="W34:X34"/>
  </mergeCells>
  <phoneticPr fontId="1" type="noConversion"/>
  <conditionalFormatting sqref="K23">
    <cfRule type="cellIs" dxfId="11" priority="17" operator="lessThan">
      <formula>1</formula>
    </cfRule>
    <cfRule type="cellIs" dxfId="10" priority="18" operator="greaterThanOrEqual">
      <formula>1</formula>
    </cfRule>
  </conditionalFormatting>
  <conditionalFormatting sqref="K23:L24">
    <cfRule type="containsText" dxfId="9" priority="3" operator="containsText" text="-">
      <formula>NOT(ISERROR(SEARCH("-",K23)))</formula>
    </cfRule>
  </conditionalFormatting>
  <conditionalFormatting sqref="P8">
    <cfRule type="containsText" dxfId="8" priority="1" operator="containsText" text="-">
      <formula>NOT(ISERROR(SEARCH("-",P8)))</formula>
    </cfRule>
  </conditionalFormatting>
  <conditionalFormatting sqref="P13">
    <cfRule type="cellIs" dxfId="7" priority="12" operator="lessThan">
      <formula>1</formula>
    </cfRule>
    <cfRule type="cellIs" dxfId="6" priority="13" operator="greaterThanOrEqual">
      <formula>1</formula>
    </cfRule>
  </conditionalFormatting>
  <conditionalFormatting sqref="Q17:Q19 Q21 T9 T15 T21 T33">
    <cfRule type="cellIs" dxfId="5" priority="8" operator="lessThan">
      <formula>1</formula>
    </cfRule>
    <cfRule type="cellIs" dxfId="4" priority="9" operator="greaterThanOrEqual">
      <formula>1</formula>
    </cfRule>
  </conditionalFormatting>
  <conditionalFormatting sqref="Q17:Q21">
    <cfRule type="containsText" dxfId="3" priority="4" operator="containsText" text="-">
      <formula>NOT(ISERROR(SEARCH("-",Q17)))</formula>
    </cfRule>
  </conditionalFormatting>
  <conditionalFormatting sqref="Q20 T27">
    <cfRule type="cellIs" dxfId="2" priority="5" operator="between">
      <formula>1</formula>
      <formula>1.66667</formula>
    </cfRule>
    <cfRule type="cellIs" dxfId="1" priority="6" stopIfTrue="1" operator="greaterThan">
      <formula>1.66667</formula>
    </cfRule>
    <cfRule type="cellIs" dxfId="0" priority="7" stopIfTrue="1" operator="lessThanOrEqual">
      <formula>1</formula>
    </cfRule>
  </conditionalFormatting>
  <dataValidations count="1">
    <dataValidation allowBlank="1" showInputMessage="1" showErrorMessage="1" sqref="C6:C13" xr:uid="{7EE776EB-A86E-4972-9A44-DCAD1044B8F0}"/>
  </dataValidations>
  <pageMargins left="0.7" right="0.7" top="0.75" bottom="0.75" header="0.3" footer="0.3"/>
  <pageSetup paperSize="9" fitToWidth="0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5B2C81-37E1-4381-860C-C6ED9E2F5C5D}">
          <x14:formula1>
            <xm:f>Desplegables!$E$3:$E$9</xm:f>
          </x14:formula1>
          <xm:sqref>I7</xm:sqref>
        </x14:dataValidation>
        <x14:dataValidation type="list" allowBlank="1" showInputMessage="1" showErrorMessage="1" xr:uid="{1F7A05CD-1A6A-4F61-AA7D-FDA31E7F56CF}">
          <x14:formula1>
            <xm:f>'Base de Datos Probetas'!$B$6:$B$1000</xm:f>
          </x14:formula1>
          <xm:sqref>J7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8296-DCA6-4ECB-AA38-9AAA07193944}">
  <dimension ref="A2:N31"/>
  <sheetViews>
    <sheetView workbookViewId="0">
      <selection activeCell="C25" sqref="C25"/>
    </sheetView>
  </sheetViews>
  <sheetFormatPr defaultColWidth="11.42578125" defaultRowHeight="16.5" customHeight="1"/>
  <cols>
    <col min="1" max="1" width="5.5703125" style="93" customWidth="1"/>
    <col min="2" max="2" width="7.5703125" style="93" customWidth="1"/>
    <col min="3" max="3" width="60.5703125" style="93" customWidth="1"/>
    <col min="4" max="5" width="5.5703125" style="93" customWidth="1"/>
    <col min="6" max="6" width="60.5703125" style="93" customWidth="1"/>
    <col min="7" max="7" width="60.5703125" style="107" customWidth="1"/>
    <col min="8" max="8" width="15.140625" style="93" customWidth="1"/>
    <col min="9" max="9" width="5.7109375" style="93" customWidth="1"/>
    <col min="10" max="12" width="11.42578125" style="107"/>
    <col min="13" max="16384" width="11.42578125" style="93"/>
  </cols>
  <sheetData>
    <row r="2" spans="1:14" ht="17.45">
      <c r="A2" s="60"/>
      <c r="B2" s="207" t="s">
        <v>191</v>
      </c>
      <c r="C2" s="208"/>
      <c r="D2" s="60"/>
      <c r="E2" s="60"/>
      <c r="F2" s="207" t="s">
        <v>192</v>
      </c>
      <c r="G2" s="208"/>
      <c r="H2" s="60"/>
      <c r="I2" s="60"/>
      <c r="J2" s="8"/>
      <c r="K2" s="273" t="s">
        <v>193</v>
      </c>
      <c r="L2" s="274"/>
      <c r="M2" s="60"/>
      <c r="N2" s="60"/>
    </row>
    <row r="3" spans="1:14" ht="13.9">
      <c r="A3" s="60"/>
      <c r="B3" s="119" t="s">
        <v>185</v>
      </c>
      <c r="C3" s="95" t="s">
        <v>194</v>
      </c>
      <c r="D3" s="60"/>
      <c r="E3" s="60"/>
      <c r="F3" s="96" t="s">
        <v>195</v>
      </c>
      <c r="G3" s="84" t="s">
        <v>196</v>
      </c>
      <c r="H3" s="60"/>
      <c r="I3" s="60"/>
      <c r="J3" s="8"/>
      <c r="K3" s="57" t="s">
        <v>186</v>
      </c>
      <c r="L3" s="139">
        <v>1.37</v>
      </c>
      <c r="M3" s="60"/>
      <c r="N3" s="60"/>
    </row>
    <row r="4" spans="1:14" ht="13.9">
      <c r="A4" s="60"/>
      <c r="B4" s="130" t="s">
        <v>186</v>
      </c>
      <c r="C4" s="97" t="s">
        <v>197</v>
      </c>
      <c r="D4" s="60"/>
      <c r="E4" s="60"/>
      <c r="F4" s="98" t="s">
        <v>198</v>
      </c>
      <c r="G4" s="122" t="s">
        <v>199</v>
      </c>
      <c r="H4" s="119" t="s">
        <v>44</v>
      </c>
      <c r="I4" s="60"/>
      <c r="J4" s="8"/>
      <c r="K4" s="68" t="s">
        <v>187</v>
      </c>
      <c r="L4" s="112">
        <v>1.08</v>
      </c>
      <c r="M4" s="60"/>
      <c r="N4" s="60"/>
    </row>
    <row r="5" spans="1:14" ht="13.9">
      <c r="A5" s="60"/>
      <c r="B5" s="120" t="s">
        <v>187</v>
      </c>
      <c r="C5" s="100" t="s">
        <v>197</v>
      </c>
      <c r="D5" s="60"/>
      <c r="E5" s="60"/>
      <c r="F5" s="101" t="s">
        <v>200</v>
      </c>
      <c r="G5" s="123" t="s">
        <v>201</v>
      </c>
      <c r="H5" s="120" t="s">
        <v>50</v>
      </c>
      <c r="I5" s="60"/>
      <c r="J5" s="8"/>
      <c r="K5" s="68" t="s">
        <v>188</v>
      </c>
      <c r="L5" s="112">
        <v>1.17</v>
      </c>
      <c r="M5" s="60"/>
      <c r="N5" s="60"/>
    </row>
    <row r="6" spans="1:14" ht="13.9">
      <c r="A6" s="60"/>
      <c r="B6" s="130" t="s">
        <v>189</v>
      </c>
      <c r="C6" s="97" t="s">
        <v>202</v>
      </c>
      <c r="D6" s="60"/>
      <c r="E6" s="60"/>
      <c r="F6" s="101" t="s">
        <v>203</v>
      </c>
      <c r="G6" s="123" t="s">
        <v>204</v>
      </c>
      <c r="H6" s="121" t="s">
        <v>52</v>
      </c>
      <c r="I6" s="60"/>
      <c r="J6" s="8"/>
      <c r="K6" s="68" t="s">
        <v>189</v>
      </c>
      <c r="L6" s="112">
        <v>1.17</v>
      </c>
      <c r="M6" s="60"/>
      <c r="N6" s="60"/>
    </row>
    <row r="7" spans="1:14" ht="13.9">
      <c r="A7" s="60"/>
      <c r="B7" s="120" t="s">
        <v>188</v>
      </c>
      <c r="C7" s="100" t="s">
        <v>202</v>
      </c>
      <c r="D7" s="60"/>
      <c r="E7" s="60"/>
      <c r="F7" s="102" t="s">
        <v>205</v>
      </c>
      <c r="G7" s="92" t="s">
        <v>206</v>
      </c>
      <c r="H7" s="60"/>
      <c r="I7" s="60"/>
      <c r="J7" s="8"/>
      <c r="K7" s="68" t="s">
        <v>115</v>
      </c>
      <c r="L7" s="112">
        <v>1.47</v>
      </c>
      <c r="M7" s="60"/>
      <c r="N7" s="60"/>
    </row>
    <row r="8" spans="1:14" ht="13.9">
      <c r="A8" s="60"/>
      <c r="B8" s="130" t="s">
        <v>190</v>
      </c>
      <c r="C8" s="97" t="s">
        <v>207</v>
      </c>
      <c r="D8" s="60"/>
      <c r="E8" s="60"/>
      <c r="F8" s="102" t="s">
        <v>194</v>
      </c>
      <c r="G8" s="92" t="s">
        <v>208</v>
      </c>
      <c r="H8" s="60"/>
      <c r="I8" s="60"/>
      <c r="J8" s="8"/>
      <c r="K8" s="68" t="s">
        <v>190</v>
      </c>
      <c r="L8" s="112">
        <v>1.03</v>
      </c>
      <c r="M8" s="60"/>
      <c r="N8" s="60"/>
    </row>
    <row r="9" spans="1:14" ht="13.9">
      <c r="A9" s="60"/>
      <c r="B9" s="121" t="s">
        <v>115</v>
      </c>
      <c r="C9" s="104" t="s">
        <v>207</v>
      </c>
      <c r="D9" s="60"/>
      <c r="E9" s="60"/>
      <c r="F9" s="105" t="s">
        <v>209</v>
      </c>
      <c r="G9" s="106" t="s">
        <v>210</v>
      </c>
      <c r="H9" s="60"/>
      <c r="I9" s="60"/>
      <c r="J9" s="8"/>
      <c r="K9" s="133" t="s">
        <v>211</v>
      </c>
      <c r="L9" s="160">
        <v>1.25</v>
      </c>
      <c r="M9" s="60"/>
      <c r="N9" s="60"/>
    </row>
    <row r="10" spans="1:14" ht="13.9">
      <c r="A10" s="60"/>
      <c r="B10" s="60"/>
      <c r="C10" s="60"/>
      <c r="D10" s="60"/>
      <c r="E10" s="60"/>
      <c r="F10" s="60"/>
      <c r="G10" s="8"/>
      <c r="H10" s="60"/>
      <c r="I10" s="60"/>
      <c r="J10" s="8"/>
      <c r="K10" s="8"/>
      <c r="L10" s="8"/>
      <c r="M10" s="60"/>
      <c r="N10" s="60"/>
    </row>
    <row r="11" spans="1:14" ht="17.45">
      <c r="A11" s="60"/>
      <c r="B11" s="207" t="s">
        <v>212</v>
      </c>
      <c r="C11" s="208"/>
      <c r="D11" s="60"/>
      <c r="E11" s="60"/>
      <c r="F11" s="207" t="s">
        <v>213</v>
      </c>
      <c r="G11" s="208"/>
      <c r="H11" s="60"/>
      <c r="I11" s="60"/>
      <c r="J11" s="8"/>
      <c r="K11" s="8"/>
      <c r="L11" s="8"/>
      <c r="M11" s="60"/>
      <c r="N11" s="60"/>
    </row>
    <row r="12" spans="1:14">
      <c r="A12" s="60"/>
      <c r="B12" s="119" t="s">
        <v>185</v>
      </c>
      <c r="C12" s="95" t="s">
        <v>51</v>
      </c>
      <c r="D12" s="60"/>
      <c r="E12" s="60"/>
      <c r="F12" s="57" t="s">
        <v>195</v>
      </c>
      <c r="G12" s="96" t="s">
        <v>196</v>
      </c>
      <c r="H12" s="60"/>
      <c r="I12" s="60"/>
      <c r="J12" s="8"/>
      <c r="K12" s="73" t="s">
        <v>214</v>
      </c>
      <c r="L12" s="110" t="s">
        <v>215</v>
      </c>
      <c r="M12" s="60"/>
      <c r="N12" s="60"/>
    </row>
    <row r="13" spans="1:14">
      <c r="A13" s="60"/>
      <c r="B13" s="130" t="s">
        <v>186</v>
      </c>
      <c r="C13" s="97" t="s">
        <v>63</v>
      </c>
      <c r="D13" s="60"/>
      <c r="E13" s="278" t="s">
        <v>42</v>
      </c>
      <c r="F13" s="94" t="s">
        <v>55</v>
      </c>
      <c r="G13" s="124" t="s">
        <v>216</v>
      </c>
      <c r="H13" s="119" t="s">
        <v>54</v>
      </c>
      <c r="I13" s="60"/>
      <c r="J13" s="8"/>
      <c r="K13" s="112">
        <v>6</v>
      </c>
      <c r="L13" s="45">
        <v>0</v>
      </c>
      <c r="M13" s="60"/>
      <c r="N13" s="60"/>
    </row>
    <row r="14" spans="1:14">
      <c r="A14" s="60"/>
      <c r="B14" s="120" t="s">
        <v>187</v>
      </c>
      <c r="C14" s="100" t="s">
        <v>63</v>
      </c>
      <c r="D14" s="60"/>
      <c r="E14" s="279"/>
      <c r="F14" s="99" t="s">
        <v>60</v>
      </c>
      <c r="G14" s="125" t="s">
        <v>217</v>
      </c>
      <c r="H14" s="120" t="s">
        <v>59</v>
      </c>
      <c r="I14" s="60"/>
      <c r="J14" s="8"/>
      <c r="K14" s="112">
        <v>4</v>
      </c>
      <c r="L14" s="45">
        <v>2</v>
      </c>
      <c r="M14" s="60"/>
      <c r="N14" s="60"/>
    </row>
    <row r="15" spans="1:14">
      <c r="A15" s="60"/>
      <c r="B15" s="130" t="s">
        <v>189</v>
      </c>
      <c r="C15" s="97" t="s">
        <v>63</v>
      </c>
      <c r="D15" s="60"/>
      <c r="E15" s="279"/>
      <c r="F15" s="103" t="s">
        <v>63</v>
      </c>
      <c r="G15" s="126" t="s">
        <v>218</v>
      </c>
      <c r="H15" s="120" t="s">
        <v>62</v>
      </c>
      <c r="I15" s="60"/>
      <c r="J15" s="8"/>
      <c r="K15" s="112">
        <v>2</v>
      </c>
      <c r="L15" s="45">
        <v>2</v>
      </c>
      <c r="M15" s="60"/>
      <c r="N15" s="60"/>
    </row>
    <row r="16" spans="1:14">
      <c r="A16" s="60"/>
      <c r="B16" s="120" t="s">
        <v>188</v>
      </c>
      <c r="C16" s="100" t="s">
        <v>55</v>
      </c>
      <c r="D16" s="60"/>
      <c r="E16" s="278" t="s">
        <v>66</v>
      </c>
      <c r="F16" s="99" t="s">
        <v>219</v>
      </c>
      <c r="G16" s="281" t="s">
        <v>220</v>
      </c>
      <c r="H16" s="119" t="s">
        <v>64</v>
      </c>
      <c r="I16" s="60"/>
      <c r="J16" s="96" t="s">
        <v>221</v>
      </c>
      <c r="K16" s="43">
        <f>SUM(K13:K15)</f>
        <v>12</v>
      </c>
      <c r="L16" s="44">
        <f>SUM(L13:L15)</f>
        <v>4</v>
      </c>
      <c r="M16" s="60"/>
      <c r="N16" s="60"/>
    </row>
    <row r="17" spans="1:14" ht="13.9">
      <c r="A17" s="60"/>
      <c r="B17" s="130" t="s">
        <v>190</v>
      </c>
      <c r="C17" s="97" t="s">
        <v>55</v>
      </c>
      <c r="D17" s="60"/>
      <c r="E17" s="280"/>
      <c r="F17" s="103" t="s">
        <v>222</v>
      </c>
      <c r="G17" s="282"/>
      <c r="H17" s="121" t="s">
        <v>68</v>
      </c>
      <c r="I17" s="60"/>
      <c r="J17" s="129" t="s">
        <v>223</v>
      </c>
      <c r="K17" s="114">
        <f>K16/3</f>
        <v>4</v>
      </c>
      <c r="L17" s="114">
        <f>L16/4</f>
        <v>1</v>
      </c>
      <c r="M17" s="117">
        <f>L17+K17</f>
        <v>5</v>
      </c>
      <c r="N17" s="60"/>
    </row>
    <row r="18" spans="1:14" ht="13.9">
      <c r="A18" s="60"/>
      <c r="B18" s="121" t="s">
        <v>115</v>
      </c>
      <c r="C18" s="104" t="s">
        <v>63</v>
      </c>
      <c r="D18" s="60"/>
      <c r="E18" s="113"/>
      <c r="F18" s="60"/>
      <c r="G18" s="8"/>
      <c r="H18" s="60"/>
      <c r="I18" s="60"/>
      <c r="J18" s="8"/>
      <c r="K18" s="8"/>
      <c r="L18" s="8"/>
      <c r="M18" s="60"/>
      <c r="N18" s="60"/>
    </row>
    <row r="19" spans="1:14" ht="17.45">
      <c r="A19" s="60"/>
      <c r="B19" s="60"/>
      <c r="C19" s="60"/>
      <c r="D19" s="60"/>
      <c r="E19" s="60"/>
      <c r="F19" s="207" t="s">
        <v>224</v>
      </c>
      <c r="G19" s="208"/>
      <c r="H19" s="60"/>
      <c r="I19" s="60"/>
      <c r="J19" s="8"/>
      <c r="K19" s="8"/>
      <c r="L19" s="8"/>
      <c r="M19" s="60"/>
      <c r="N19" s="60"/>
    </row>
    <row r="20" spans="1:14" ht="14.45" thickBot="1">
      <c r="A20" s="60"/>
      <c r="B20" s="60"/>
      <c r="C20" s="60"/>
      <c r="D20" s="60"/>
      <c r="E20" s="60"/>
      <c r="F20" s="57" t="s">
        <v>195</v>
      </c>
      <c r="G20" s="96" t="s">
        <v>196</v>
      </c>
      <c r="H20" s="60"/>
      <c r="I20" s="60"/>
      <c r="J20" s="8"/>
      <c r="K20" s="73" t="s">
        <v>214</v>
      </c>
      <c r="L20" s="110" t="s">
        <v>215</v>
      </c>
      <c r="M20" s="60"/>
      <c r="N20" s="60"/>
    </row>
    <row r="21" spans="1:14" ht="16.5" customHeight="1" thickBot="1">
      <c r="A21" s="60"/>
      <c r="B21" s="60"/>
      <c r="C21" s="60"/>
      <c r="D21" s="60"/>
      <c r="E21" s="57" t="s">
        <v>42</v>
      </c>
      <c r="F21" s="135" t="s">
        <v>72</v>
      </c>
      <c r="G21" s="43" t="s">
        <v>225</v>
      </c>
      <c r="H21" s="119" t="s">
        <v>71</v>
      </c>
      <c r="I21" s="60"/>
      <c r="J21" s="8"/>
      <c r="K21" s="112">
        <v>8</v>
      </c>
      <c r="L21" s="45">
        <v>4</v>
      </c>
      <c r="M21" s="60"/>
      <c r="N21" s="60"/>
    </row>
    <row r="22" spans="1:14" ht="16.5" customHeight="1" thickBot="1">
      <c r="A22" s="60"/>
      <c r="B22" s="60"/>
      <c r="C22" s="60"/>
      <c r="D22" s="60"/>
      <c r="E22" s="275" t="s">
        <v>66</v>
      </c>
      <c r="F22" s="120" t="s">
        <v>72</v>
      </c>
      <c r="G22" s="136" t="s">
        <v>225</v>
      </c>
      <c r="H22" s="119" t="s">
        <v>83</v>
      </c>
      <c r="I22" s="60"/>
      <c r="J22" s="96" t="s">
        <v>221</v>
      </c>
      <c r="K22" s="43">
        <f>SUM(K21:K21)</f>
        <v>8</v>
      </c>
      <c r="L22" s="44">
        <f>SUM(L21:L21)</f>
        <v>4</v>
      </c>
      <c r="M22" s="60"/>
      <c r="N22" s="60"/>
    </row>
    <row r="23" spans="1:14" ht="16.5" customHeight="1" thickBot="1">
      <c r="A23" s="60"/>
      <c r="B23" s="60"/>
      <c r="C23" s="60"/>
      <c r="D23" s="60"/>
      <c r="E23" s="277"/>
      <c r="F23" s="99" t="s">
        <v>55</v>
      </c>
      <c r="G23" s="125" t="s">
        <v>226</v>
      </c>
      <c r="H23" s="120" t="s">
        <v>85</v>
      </c>
      <c r="I23" s="60"/>
      <c r="J23" s="129" t="s">
        <v>223</v>
      </c>
      <c r="K23" s="114">
        <f>K22/3</f>
        <v>2.6666666666666665</v>
      </c>
      <c r="L23" s="114">
        <f>L22/4</f>
        <v>1</v>
      </c>
      <c r="M23" s="117">
        <f>L23+K23</f>
        <v>3.6666666666666665</v>
      </c>
      <c r="N23" s="60"/>
    </row>
    <row r="24" spans="1:14" ht="16.5" customHeight="1" thickBot="1">
      <c r="A24" s="60"/>
      <c r="B24" s="60"/>
      <c r="C24" s="60"/>
      <c r="D24" s="60"/>
      <c r="E24" s="277"/>
      <c r="F24" s="99" t="s">
        <v>227</v>
      </c>
      <c r="G24" s="125" t="s">
        <v>228</v>
      </c>
      <c r="H24" s="121" t="s">
        <v>87</v>
      </c>
      <c r="I24" s="60"/>
      <c r="J24" s="60"/>
      <c r="K24" s="60"/>
      <c r="L24" s="60"/>
      <c r="M24" s="60"/>
      <c r="N24" s="60"/>
    </row>
    <row r="25" spans="1:14" ht="16.5" customHeight="1">
      <c r="A25" s="60"/>
      <c r="B25" s="60"/>
      <c r="C25" s="60"/>
      <c r="D25" s="60"/>
      <c r="E25" s="275" t="s">
        <v>74</v>
      </c>
      <c r="F25" s="119" t="s">
        <v>55</v>
      </c>
      <c r="G25" s="43" t="s">
        <v>229</v>
      </c>
      <c r="H25" s="120" t="s">
        <v>76</v>
      </c>
      <c r="I25" s="60"/>
      <c r="J25" s="8"/>
      <c r="K25" s="8"/>
      <c r="L25" s="8"/>
      <c r="M25" s="60"/>
      <c r="N25" s="60"/>
    </row>
    <row r="26" spans="1:14" ht="16.5" customHeight="1" thickBot="1">
      <c r="A26" s="60"/>
      <c r="B26" s="60"/>
      <c r="C26" s="60"/>
      <c r="D26" s="60"/>
      <c r="E26" s="276"/>
      <c r="F26" s="121" t="s">
        <v>55</v>
      </c>
      <c r="G26" s="46" t="s">
        <v>230</v>
      </c>
      <c r="H26" s="121" t="s">
        <v>73</v>
      </c>
      <c r="I26" s="60"/>
      <c r="J26" s="8"/>
      <c r="K26" s="8"/>
      <c r="L26" s="8"/>
      <c r="M26" s="60"/>
      <c r="N26" s="60"/>
    </row>
    <row r="27" spans="1:14" ht="16.5" customHeight="1">
      <c r="A27" s="60"/>
      <c r="B27" s="60"/>
      <c r="C27" s="60"/>
      <c r="D27" s="60"/>
      <c r="E27" s="60"/>
      <c r="F27" s="60"/>
      <c r="G27" s="8"/>
      <c r="H27" s="60"/>
      <c r="I27" s="60"/>
      <c r="J27" s="8"/>
      <c r="K27" s="8"/>
      <c r="L27" s="8"/>
      <c r="M27" s="60"/>
      <c r="N27" s="60"/>
    </row>
    <row r="28" spans="1:14" ht="16.5" customHeight="1">
      <c r="A28" s="60"/>
      <c r="B28" s="60"/>
      <c r="C28" s="60"/>
      <c r="D28" s="60"/>
      <c r="E28" s="60"/>
      <c r="F28" s="207" t="s">
        <v>231</v>
      </c>
      <c r="G28" s="208"/>
      <c r="H28" s="60"/>
      <c r="I28" s="60"/>
      <c r="J28" s="8"/>
      <c r="K28" s="8"/>
      <c r="L28" s="8"/>
      <c r="M28" s="60"/>
      <c r="N28" s="60"/>
    </row>
    <row r="29" spans="1:14">
      <c r="A29" s="60"/>
      <c r="B29" s="60"/>
      <c r="C29" s="60"/>
      <c r="D29" s="60"/>
      <c r="E29" s="177" t="s">
        <v>42</v>
      </c>
      <c r="F29" s="135" t="s">
        <v>51</v>
      </c>
      <c r="G29" s="180" t="s">
        <v>232</v>
      </c>
      <c r="H29" s="135" t="s">
        <v>89</v>
      </c>
      <c r="I29" s="60"/>
      <c r="J29" s="8"/>
      <c r="K29" s="8"/>
      <c r="L29" s="8"/>
      <c r="M29" s="60"/>
      <c r="N29" s="60"/>
    </row>
    <row r="30" spans="1:14" ht="16.5" customHeight="1">
      <c r="A30" s="60"/>
      <c r="B30" s="60"/>
      <c r="C30" s="60"/>
      <c r="D30" s="60"/>
      <c r="E30" s="178" t="s">
        <v>66</v>
      </c>
      <c r="F30" s="121" t="s">
        <v>51</v>
      </c>
      <c r="G30" s="46" t="s">
        <v>232</v>
      </c>
      <c r="H30" s="121" t="s">
        <v>90</v>
      </c>
      <c r="I30" s="60"/>
      <c r="J30" s="8"/>
      <c r="K30" s="8"/>
      <c r="L30" s="8"/>
      <c r="M30" s="60"/>
      <c r="N30" s="60"/>
    </row>
    <row r="31" spans="1:14" ht="16.5" customHeight="1">
      <c r="A31" s="60"/>
      <c r="B31" s="60"/>
      <c r="C31" s="60"/>
      <c r="D31" s="60"/>
      <c r="E31" s="60"/>
      <c r="F31" s="60"/>
      <c r="G31" s="8"/>
      <c r="H31" s="60"/>
      <c r="I31" s="60"/>
      <c r="J31" s="8"/>
      <c r="K31" s="8"/>
      <c r="L31" s="8"/>
      <c r="M31" s="60"/>
      <c r="N31" s="60"/>
    </row>
  </sheetData>
  <mergeCells count="12">
    <mergeCell ref="B2:C2"/>
    <mergeCell ref="F2:G2"/>
    <mergeCell ref="F11:G11"/>
    <mergeCell ref="E13:E15"/>
    <mergeCell ref="E16:E17"/>
    <mergeCell ref="G16:G17"/>
    <mergeCell ref="B11:C11"/>
    <mergeCell ref="F28:G28"/>
    <mergeCell ref="K2:L2"/>
    <mergeCell ref="E25:E26"/>
    <mergeCell ref="F19:G19"/>
    <mergeCell ref="E22:E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71DE-5D45-468A-8FAF-A1FE825FB5C4}">
  <dimension ref="B2:G19"/>
  <sheetViews>
    <sheetView workbookViewId="0">
      <selection activeCell="D12" sqref="D12"/>
    </sheetView>
  </sheetViews>
  <sheetFormatPr defaultColWidth="15.5703125" defaultRowHeight="19.5" customHeight="1"/>
  <cols>
    <col min="1" max="1" width="15.5703125" style="91"/>
    <col min="2" max="2" width="20.5703125" style="91" customWidth="1"/>
    <col min="3" max="3" width="35.5703125" style="91" customWidth="1"/>
    <col min="4" max="4" width="50.5703125" style="91" customWidth="1"/>
    <col min="5" max="5" width="17.42578125" style="91" customWidth="1"/>
    <col min="6" max="6" width="29" style="91" customWidth="1"/>
    <col min="7" max="7" width="15.5703125" style="91" customWidth="1"/>
    <col min="8" max="16384" width="15.5703125" style="91"/>
  </cols>
  <sheetData>
    <row r="2" spans="2:7" ht="19.5" customHeight="1">
      <c r="B2" s="199" t="s">
        <v>233</v>
      </c>
      <c r="C2" s="200"/>
      <c r="D2" s="222"/>
      <c r="E2" s="8"/>
      <c r="F2" s="264" t="s">
        <v>234</v>
      </c>
      <c r="G2" s="265"/>
    </row>
    <row r="3" spans="2:7" ht="19.5" customHeight="1">
      <c r="B3" s="133" t="s">
        <v>235</v>
      </c>
      <c r="C3" s="161" t="s">
        <v>236</v>
      </c>
      <c r="D3" s="134" t="s">
        <v>237</v>
      </c>
      <c r="E3" s="8"/>
      <c r="F3" s="36" t="s">
        <v>185</v>
      </c>
      <c r="G3" s="37">
        <v>60798.57</v>
      </c>
    </row>
    <row r="4" spans="2:7" ht="19.5" customHeight="1">
      <c r="B4" s="38" t="s">
        <v>185</v>
      </c>
      <c r="C4" s="162">
        <v>128</v>
      </c>
      <c r="D4" s="148">
        <f>(C4/$G$12)*G3</f>
        <v>778.22169600000007</v>
      </c>
      <c r="E4" s="8"/>
      <c r="F4" s="38" t="s">
        <v>186</v>
      </c>
      <c r="G4" s="163">
        <v>433988.68</v>
      </c>
    </row>
    <row r="5" spans="2:7" ht="19.5" customHeight="1">
      <c r="B5" s="38" t="s">
        <v>186</v>
      </c>
      <c r="C5" s="162">
        <v>868</v>
      </c>
      <c r="D5" s="148">
        <f>(C5/$G$11)*G4</f>
        <v>2739.6521762909092</v>
      </c>
      <c r="E5" s="8"/>
      <c r="F5" s="38" t="s">
        <v>187</v>
      </c>
      <c r="G5" s="39">
        <v>372409.54</v>
      </c>
    </row>
    <row r="6" spans="2:7" ht="19.5" customHeight="1">
      <c r="B6" s="38" t="s">
        <v>187</v>
      </c>
      <c r="C6" s="162">
        <v>868</v>
      </c>
      <c r="D6" s="148">
        <f>(C6/$G$11)*G5*2</f>
        <v>4701.8397195636362</v>
      </c>
      <c r="E6" s="8"/>
      <c r="F6" s="38" t="s">
        <v>189</v>
      </c>
      <c r="G6" s="39">
        <v>1110232.31</v>
      </c>
    </row>
    <row r="7" spans="2:7" ht="19.5" customHeight="1">
      <c r="B7" s="38" t="s">
        <v>189</v>
      </c>
      <c r="C7" s="162">
        <v>868</v>
      </c>
      <c r="D7" s="148">
        <f>(C7/$G$11)*G6</f>
        <v>7008.5937824000002</v>
      </c>
      <c r="E7" s="8"/>
      <c r="F7" s="38" t="s">
        <v>188</v>
      </c>
      <c r="G7" s="39">
        <v>287720.74</v>
      </c>
    </row>
    <row r="8" spans="2:7" ht="19.5" customHeight="1">
      <c r="B8" s="38" t="s">
        <v>188</v>
      </c>
      <c r="C8" s="162">
        <v>1162</v>
      </c>
      <c r="D8" s="148">
        <f>(C8/$G$11)*G7*2</f>
        <v>4863.0036346181814</v>
      </c>
      <c r="E8" s="8"/>
      <c r="F8" s="38" t="s">
        <v>115</v>
      </c>
      <c r="G8" s="39">
        <v>328335.11</v>
      </c>
    </row>
    <row r="9" spans="2:7" ht="19.5" customHeight="1">
      <c r="B9" s="38" t="s">
        <v>115</v>
      </c>
      <c r="C9" s="162">
        <v>868</v>
      </c>
      <c r="D9" s="148">
        <f>(C9/$G$11)*G8*2</f>
        <v>4145.380006981818</v>
      </c>
      <c r="E9" s="8"/>
      <c r="F9" s="38" t="s">
        <v>190</v>
      </c>
      <c r="G9" s="39">
        <v>96160.39</v>
      </c>
    </row>
    <row r="10" spans="2:7" ht="19.5" customHeight="1">
      <c r="B10" s="40" t="s">
        <v>190</v>
      </c>
      <c r="C10" s="164">
        <v>1162</v>
      </c>
      <c r="D10" s="152">
        <f>(C10/$G$11)*G9</f>
        <v>812.6427140363636</v>
      </c>
      <c r="E10" s="8"/>
      <c r="F10" s="38" t="s">
        <v>238</v>
      </c>
      <c r="G10" s="39">
        <v>31463.69</v>
      </c>
    </row>
    <row r="11" spans="2:7" ht="19.5" customHeight="1">
      <c r="B11" s="8"/>
      <c r="C11" s="8"/>
      <c r="D11" s="8"/>
      <c r="E11" s="8"/>
      <c r="F11" s="36" t="s">
        <v>42</v>
      </c>
      <c r="G11" s="37">
        <f>'Calculadora SES'!X26*'Calculadora SES'!X27</f>
        <v>137500</v>
      </c>
    </row>
    <row r="12" spans="2:7" ht="19.5" customHeight="1">
      <c r="B12" s="8"/>
      <c r="C12" s="64" t="s">
        <v>239</v>
      </c>
      <c r="D12" s="165">
        <f>(SUM(D4:D10)+G15+G19)/1000</f>
        <v>25.235458585505082</v>
      </c>
      <c r="E12" s="8"/>
      <c r="F12" s="40" t="s">
        <v>66</v>
      </c>
      <c r="G12" s="42">
        <f>100*100</f>
        <v>10000</v>
      </c>
    </row>
    <row r="15" spans="2:7" ht="19.5" customHeight="1">
      <c r="B15" s="8"/>
      <c r="C15" s="8"/>
      <c r="D15" s="8"/>
      <c r="E15" s="8"/>
      <c r="F15" s="73" t="s">
        <v>240</v>
      </c>
      <c r="G15" s="166">
        <f>((D5-198.28)/'Peso Monocasco'!G4)*'Peso Monocasco'!G10</f>
        <v>184.24661751417688</v>
      </c>
    </row>
    <row r="16" spans="2:7" ht="19.5" customHeight="1">
      <c r="B16" s="8"/>
      <c r="C16" s="8"/>
      <c r="D16" s="8"/>
      <c r="E16" s="8"/>
      <c r="F16" s="15"/>
      <c r="G16" s="8"/>
    </row>
    <row r="17" spans="6:7" ht="19.5" customHeight="1">
      <c r="F17" s="57" t="s">
        <v>241</v>
      </c>
      <c r="G17" s="167">
        <v>7.8499999999999994E-6</v>
      </c>
    </row>
    <row r="18" spans="6:7" ht="19.5" customHeight="1">
      <c r="F18" s="68" t="s">
        <v>242</v>
      </c>
      <c r="G18" s="112">
        <v>239266</v>
      </c>
    </row>
    <row r="19" spans="6:7" ht="19.5" customHeight="1">
      <c r="F19" s="133" t="s">
        <v>243</v>
      </c>
      <c r="G19" s="168">
        <f>G18*G17</f>
        <v>1.8782380999999999</v>
      </c>
    </row>
  </sheetData>
  <mergeCells count="2">
    <mergeCell ref="F2:G2"/>
    <mergeCell ref="B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F3CA-379A-4240-B5F8-95C4194283A9}">
  <dimension ref="C3:G11"/>
  <sheetViews>
    <sheetView workbookViewId="0">
      <selection activeCell="G7" sqref="G7"/>
    </sheetView>
  </sheetViews>
  <sheetFormatPr defaultColWidth="11.42578125" defaultRowHeight="14.45"/>
  <cols>
    <col min="7" max="7" width="18" customWidth="1"/>
  </cols>
  <sheetData>
    <row r="3" spans="3:7">
      <c r="C3" t="s">
        <v>152</v>
      </c>
      <c r="E3" t="s">
        <v>185</v>
      </c>
      <c r="G3" t="s">
        <v>42</v>
      </c>
    </row>
    <row r="4" spans="3:7">
      <c r="C4" t="s">
        <v>153</v>
      </c>
      <c r="E4" t="s">
        <v>186</v>
      </c>
      <c r="G4" t="s">
        <v>66</v>
      </c>
    </row>
    <row r="5" spans="3:7">
      <c r="C5" t="s">
        <v>157</v>
      </c>
      <c r="E5" t="s">
        <v>187</v>
      </c>
      <c r="G5" t="s">
        <v>81</v>
      </c>
    </row>
    <row r="6" spans="3:7">
      <c r="C6" t="s">
        <v>158</v>
      </c>
      <c r="E6" t="s">
        <v>188</v>
      </c>
      <c r="G6" t="s">
        <v>78</v>
      </c>
    </row>
    <row r="7" spans="3:7">
      <c r="C7" t="s">
        <v>163</v>
      </c>
      <c r="E7" t="s">
        <v>189</v>
      </c>
      <c r="G7" t="s">
        <v>74</v>
      </c>
    </row>
    <row r="8" spans="3:7">
      <c r="C8" t="s">
        <v>165</v>
      </c>
      <c r="E8" t="s">
        <v>115</v>
      </c>
    </row>
    <row r="9" spans="3:7">
      <c r="C9" t="s">
        <v>166</v>
      </c>
      <c r="E9" t="s">
        <v>190</v>
      </c>
    </row>
    <row r="10" spans="3:7">
      <c r="C10" t="s">
        <v>167</v>
      </c>
    </row>
    <row r="11" spans="3:7">
      <c r="C11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a6d24f-0e2c-4e41-a12e-fadd4f03e42f">
      <Terms xmlns="http://schemas.microsoft.com/office/infopath/2007/PartnerControls"/>
    </lcf76f155ced4ddcb4097134ff3c332f>
    <TaxCatchAll xmlns="c54ff140-c14b-4809-9aa1-09cf66ceca2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C2B8E9D2FDED4FA323DEEC1E91BAF4" ma:contentTypeVersion="20" ma:contentTypeDescription="Crear nuevo documento." ma:contentTypeScope="" ma:versionID="eab7fc1625c584bba9cfd9634eb449b9">
  <xsd:schema xmlns:xsd="http://www.w3.org/2001/XMLSchema" xmlns:xs="http://www.w3.org/2001/XMLSchema" xmlns:p="http://schemas.microsoft.com/office/2006/metadata/properties" xmlns:ns2="9ca6d24f-0e2c-4e41-a12e-fadd4f03e42f" xmlns:ns3="c54ff140-c14b-4809-9aa1-09cf66ceca22" targetNamespace="http://schemas.microsoft.com/office/2006/metadata/properties" ma:root="true" ma:fieldsID="742ffd9ce486a6595e58d310d15008b9" ns2:_="" ns3:_="">
    <xsd:import namespace="9ca6d24f-0e2c-4e41-a12e-fadd4f03e42f"/>
    <xsd:import namespace="c54ff140-c14b-4809-9aa1-09cf66ceca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a6d24f-0e2c-4e41-a12e-fadd4f03e4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066dfbe3-7d39-45b9-b7e0-ebfdaeb2e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ff140-c14b-4809-9aa1-09cf66ceca2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73b917-a244-4bc5-8f00-98aaac700225}" ma:internalName="TaxCatchAll" ma:showField="CatchAllData" ma:web="c54ff140-c14b-4809-9aa1-09cf66ceca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87C2F7-B691-4483-99DC-CD9E38FE09CC}"/>
</file>

<file path=customXml/itemProps2.xml><?xml version="1.0" encoding="utf-8"?>
<ds:datastoreItem xmlns:ds="http://schemas.openxmlformats.org/officeDocument/2006/customXml" ds:itemID="{0CAC250B-6ED5-4B68-8260-36C4EC419554}"/>
</file>

<file path=customXml/itemProps3.xml><?xml version="1.0" encoding="utf-8"?>
<ds:datastoreItem xmlns:ds="http://schemas.openxmlformats.org/officeDocument/2006/customXml" ds:itemID="{F45E3921-42A4-44D1-9E16-55C58C134A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martin terradillos</dc:creator>
  <cp:keywords/>
  <dc:description/>
  <cp:lastModifiedBy>carlos martin terradillos</cp:lastModifiedBy>
  <cp:revision/>
  <dcterms:created xsi:type="dcterms:W3CDTF">2025-10-22T13:48:16Z</dcterms:created>
  <dcterms:modified xsi:type="dcterms:W3CDTF">2026-04-11T15:06:34Z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0x010100EAC2B8E9D2FDED4FA323DEEC1E91BAF4</vt:lpwstr>
  </property>
  <property fmtid="{D5CDD505-2E9C-101B-9397-08002B2CF9AE}" pid="3" name="MediaServiceImageTags">
    <vt:lpwstr/>
  </property>
</Properties>
</file>